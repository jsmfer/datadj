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.数据看板" sheetId="1" state="visible" r:id="rId1"/>
    <sheet xmlns:r="http://schemas.openxmlformats.org/officeDocument/2006/relationships" name="1.项目合同总览表" sheetId="2" state="visible" r:id="rId2"/>
    <sheet xmlns:r="http://schemas.openxmlformats.org/officeDocument/2006/relationships" name="2.收款执行跟踪表" sheetId="3" state="visible" r:id="rId3"/>
    <sheet xmlns:r="http://schemas.openxmlformats.org/officeDocument/2006/relationships" name="3.开票管理表" sheetId="4" state="visible" r:id="rId4"/>
    <sheet xmlns:r="http://schemas.openxmlformats.org/officeDocument/2006/relationships" name="4.成本支出管理表" sheetId="5" state="visible" r:id="rId5"/>
    <sheet xmlns:r="http://schemas.openxmlformats.org/officeDocument/2006/relationships" name="5.利润分析表" sheetId="6" state="visible" r:id="rId6"/>
    <sheet xmlns:r="http://schemas.openxmlformats.org/officeDocument/2006/relationships" name="6.预警分析表" sheetId="7" state="visible" r:id="rId7"/>
    <sheet xmlns:r="http://schemas.openxmlformats.org/officeDocument/2006/relationships" name="8.成本明细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1"/>
    </font>
    <font>
      <b val="1"/>
    </font>
    <font>
      <b val="1"/>
      <sz val="12"/>
    </font>
    <font>
      <b val="1"/>
      <color rgb="004472C4"/>
      <sz val="14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000"/>
        <bgColor rgb="00FFC000"/>
      </patternFill>
    </fill>
    <fill>
      <patternFill patternType="solid">
        <fgColor rgb="00FF6B6B"/>
        <bgColor rgb="00FF6B6B"/>
      </patternFill>
    </fill>
    <fill>
      <patternFill patternType="solid">
        <fgColor rgb="00B4C7E7"/>
        <bgColor rgb="00B4C7E7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4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4" fontId="4" fillId="0" borderId="1" pivotButton="0" quotePrefix="0" xfId="0"/>
    <xf numFmtId="164" fontId="4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9" borderId="0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项目执行预算管理与分析预警数据看板</t>
        </is>
      </c>
    </row>
    <row r="3">
      <c r="A3" s="2" t="inlineStr">
        <is>
          <t>关键指标概览</t>
        </is>
      </c>
    </row>
    <row r="5">
      <c r="A5" s="3" t="inlineStr">
        <is>
          <t>项目总数</t>
        </is>
      </c>
      <c r="C5" s="3" t="inlineStr">
        <is>
          <t>合同总金额</t>
        </is>
      </c>
      <c r="E5" s="3" t="inlineStr">
        <is>
          <t>已收款金额</t>
        </is>
      </c>
    </row>
    <row r="6">
      <c r="A6" s="4">
        <f>COUNTA('1.项目合同总览表'!B5:B20)</f>
        <v/>
      </c>
      <c r="C6" s="5">
        <f>SUM('1.项目合同总览表'!D5:D20)</f>
        <v/>
      </c>
      <c r="E6" s="5">
        <f>SUM('1.项目合同总览表'!E5:E20)</f>
        <v/>
      </c>
    </row>
    <row r="7">
      <c r="A7" s="3" t="inlineStr">
        <is>
          <t>未收款金额</t>
        </is>
      </c>
      <c r="C7" s="3" t="inlineStr">
        <is>
          <t>整体收款进度</t>
        </is>
      </c>
      <c r="E7" s="3" t="inlineStr">
        <is>
          <t>整体开票进度</t>
        </is>
      </c>
    </row>
    <row r="8">
      <c r="A8" s="5">
        <f>SUM('1.项目合同总览表'!G5:G20)</f>
        <v/>
      </c>
      <c r="C8" s="6">
        <f>'1.项目合同总览表'!E12/'1.项目合同总览表'!D12</f>
        <v/>
      </c>
      <c r="E8" s="6">
        <f>'1.项目合同总览表'!H12/'1.项目合同总览表'!D12</f>
        <v/>
      </c>
    </row>
    <row r="10">
      <c r="A10" s="2" t="inlineStr">
        <is>
          <t>风险分布统计</t>
        </is>
      </c>
    </row>
    <row r="12">
      <c r="A12" s="7" t="inlineStr">
        <is>
          <t>高风险项目</t>
        </is>
      </c>
      <c r="B12" s="8">
        <f>COUNTIF('6.预警分析表'!H4:H20,"高风险")</f>
        <v/>
      </c>
      <c r="C12" s="9" t="inlineStr">
        <is>
          <t>中风险项目</t>
        </is>
      </c>
      <c r="D12" s="8">
        <f>COUNTIF('6.预警分析表'!H4:H20,"中风险")</f>
        <v/>
      </c>
      <c r="E12" s="9" t="inlineStr">
        <is>
          <t>低风险项目</t>
        </is>
      </c>
      <c r="F12" s="8">
        <f>COUNTIF('6.预警分析表'!H4:H20,"低风险")</f>
        <v/>
      </c>
    </row>
    <row r="15">
      <c r="A15" s="2" t="inlineStr">
        <is>
          <t>项目状态分布</t>
        </is>
      </c>
    </row>
    <row r="17">
      <c r="A17" s="8" t="inlineStr">
        <is>
          <t>已完成</t>
        </is>
      </c>
      <c r="B17" s="8">
        <f>COUNTIF('1.项目合同总览表'!J5:J20,"已完成")</f>
        <v/>
      </c>
    </row>
    <row r="18">
      <c r="A18" s="8" t="inlineStr">
        <is>
          <t>执行中</t>
        </is>
      </c>
      <c r="B18" s="8">
        <f>COUNTIF('1.项目合同总览表'!J5:J20,"执行中")</f>
        <v/>
      </c>
    </row>
    <row r="19">
      <c r="A19" s="8" t="inlineStr">
        <is>
          <t>初期阶段</t>
        </is>
      </c>
      <c r="B19" s="8">
        <f>COUNTIF('1.项目合同总览表'!J5:J20,"初期阶段")</f>
        <v/>
      </c>
    </row>
    <row r="20">
      <c r="A20" s="8" t="inlineStr">
        <is>
          <t>未启动</t>
        </is>
      </c>
      <c r="B20" s="8">
        <f>COUNTIF('1.项目合同总览表'!J5:J20,"未启动")</f>
        <v/>
      </c>
    </row>
  </sheetData>
  <mergeCells count="4">
    <mergeCell ref="A3:F3"/>
    <mergeCell ref="A15:F15"/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项目执行预算管理与分析预警管理台帐</t>
        </is>
      </c>
    </row>
    <row r="2">
      <c r="A2" s="10" t="inlineStr">
        <is>
          <t>项目合同总览表</t>
        </is>
      </c>
    </row>
    <row r="4">
      <c r="A4" s="11" t="inlineStr">
        <is>
          <t>序号</t>
        </is>
      </c>
      <c r="B4" s="11" t="inlineStr">
        <is>
          <t>项目名称</t>
        </is>
      </c>
      <c r="C4" s="11" t="inlineStr">
        <is>
          <t>客户单位</t>
        </is>
      </c>
      <c r="D4" s="11" t="inlineStr">
        <is>
          <t>合同金额</t>
        </is>
      </c>
      <c r="E4" s="11" t="inlineStr">
        <is>
          <t>已收款金额</t>
        </is>
      </c>
      <c r="F4" s="11" t="inlineStr">
        <is>
          <t>收款进度</t>
        </is>
      </c>
      <c r="G4" s="11" t="inlineStr">
        <is>
          <t>未收款金额</t>
        </is>
      </c>
      <c r="H4" s="11" t="inlineStr">
        <is>
          <t>已开票金额</t>
        </is>
      </c>
      <c r="I4" s="11" t="inlineStr">
        <is>
          <t>开票进度</t>
        </is>
      </c>
      <c r="J4" s="11" t="inlineStr">
        <is>
          <t>项目状态</t>
        </is>
      </c>
      <c r="K4" s="11" t="inlineStr">
        <is>
          <t>项目联系人</t>
        </is>
      </c>
    </row>
    <row r="5">
      <c r="A5" s="12" t="n">
        <v>1</v>
      </c>
      <c r="B5" s="13" t="inlineStr">
        <is>
          <t>静象文旅</t>
        </is>
      </c>
      <c r="C5" s="13" t="inlineStr">
        <is>
          <t>静象文旅</t>
        </is>
      </c>
      <c r="D5" s="14" t="n">
        <v>110000</v>
      </c>
      <c r="E5" s="14" t="n">
        <v>66000</v>
      </c>
      <c r="F5" s="12" t="inlineStr">
        <is>
          <t>60.0%</t>
        </is>
      </c>
      <c r="G5" s="14" t="n">
        <v>44000</v>
      </c>
      <c r="H5" s="14" t="n">
        <v>66000</v>
      </c>
      <c r="I5" s="12" t="inlineStr">
        <is>
          <t>60.0%</t>
        </is>
      </c>
      <c r="J5" s="15" t="inlineStr">
        <is>
          <t>执行中</t>
        </is>
      </c>
      <c r="K5" s="13" t="inlineStr">
        <is>
          <t>赵宇涵</t>
        </is>
      </c>
    </row>
    <row r="6">
      <c r="A6" s="12" t="n">
        <v>2</v>
      </c>
      <c r="B6" s="13" t="inlineStr">
        <is>
          <t>滨海农商</t>
        </is>
      </c>
      <c r="C6" s="13" t="inlineStr">
        <is>
          <t>津北数字集团</t>
        </is>
      </c>
      <c r="D6" s="14" t="n">
        <v>80000</v>
      </c>
      <c r="E6" s="14" t="n">
        <v>40000</v>
      </c>
      <c r="F6" s="12" t="inlineStr">
        <is>
          <t>50.0%</t>
        </is>
      </c>
      <c r="G6" s="14" t="n">
        <v>40000</v>
      </c>
      <c r="H6" s="14" t="n">
        <v>40000</v>
      </c>
      <c r="I6" s="12" t="inlineStr">
        <is>
          <t>50.0%</t>
        </is>
      </c>
      <c r="J6" s="15" t="inlineStr">
        <is>
          <t>执行中</t>
        </is>
      </c>
      <c r="K6" s="13" t="inlineStr">
        <is>
          <t>高洁</t>
        </is>
      </c>
    </row>
    <row r="7">
      <c r="A7" s="12" t="n">
        <v>3</v>
      </c>
      <c r="B7" s="13" t="inlineStr">
        <is>
          <t>随行科技</t>
        </is>
      </c>
      <c r="C7" s="13" t="inlineStr">
        <is>
          <t>津北数字集团</t>
        </is>
      </c>
      <c r="D7" s="14" t="n">
        <v>94400</v>
      </c>
      <c r="E7" s="14" t="n">
        <v>94400</v>
      </c>
      <c r="F7" s="12" t="inlineStr">
        <is>
          <t>100.0%</t>
        </is>
      </c>
      <c r="G7" s="14" t="n">
        <v>0</v>
      </c>
      <c r="H7" s="14" t="n">
        <v>94400</v>
      </c>
      <c r="I7" s="12" t="inlineStr">
        <is>
          <t>100.0%</t>
        </is>
      </c>
      <c r="J7" s="16" t="inlineStr">
        <is>
          <t>已完成</t>
        </is>
      </c>
      <c r="K7" s="13" t="inlineStr">
        <is>
          <t>赵宇涵</t>
        </is>
      </c>
    </row>
    <row r="8">
      <c r="A8" s="12" t="n">
        <v>4</v>
      </c>
      <c r="B8" s="13" t="inlineStr">
        <is>
          <t>骏铭科技</t>
        </is>
      </c>
      <c r="C8" s="13" t="inlineStr">
        <is>
          <t>天津数据资产登记评估中心</t>
        </is>
      </c>
      <c r="D8" s="14" t="n">
        <v>171000</v>
      </c>
      <c r="E8" s="14" t="n">
        <v>90000</v>
      </c>
      <c r="F8" s="12" t="inlineStr">
        <is>
          <t>52.6%</t>
        </is>
      </c>
      <c r="G8" s="14" t="n">
        <v>81000</v>
      </c>
      <c r="H8" s="14" t="n">
        <v>90000</v>
      </c>
      <c r="I8" s="12" t="inlineStr">
        <is>
          <t>52.6%</t>
        </is>
      </c>
      <c r="J8" s="15" t="inlineStr">
        <is>
          <t>执行中</t>
        </is>
      </c>
      <c r="K8" s="13" t="inlineStr">
        <is>
          <t>高洁</t>
        </is>
      </c>
    </row>
    <row r="9">
      <c r="A9" s="12" t="n">
        <v>5</v>
      </c>
      <c r="B9" s="13" t="inlineStr">
        <is>
          <t>光电高斯</t>
        </is>
      </c>
      <c r="C9" s="13" t="inlineStr">
        <is>
          <t>天津数据资产登记评估中心</t>
        </is>
      </c>
      <c r="D9" s="14" t="n">
        <v>225000</v>
      </c>
      <c r="E9" s="14" t="n">
        <v>108000</v>
      </c>
      <c r="F9" s="12" t="inlineStr">
        <is>
          <t>48.0%</t>
        </is>
      </c>
      <c r="G9" s="14" t="n">
        <v>117000</v>
      </c>
      <c r="H9" s="14" t="n">
        <v>108000</v>
      </c>
      <c r="I9" s="12" t="inlineStr">
        <is>
          <t>48.0%</t>
        </is>
      </c>
      <c r="J9" s="17" t="inlineStr">
        <is>
          <t>初期阶段</t>
        </is>
      </c>
      <c r="K9" s="13" t="inlineStr">
        <is>
          <t>高洁</t>
        </is>
      </c>
    </row>
    <row r="10">
      <c r="A10" s="12" t="n">
        <v>6</v>
      </c>
      <c r="B10" s="13" t="inlineStr">
        <is>
          <t>中交疏浚</t>
        </is>
      </c>
      <c r="C10" s="13" t="inlineStr">
        <is>
          <t>天津数据资产登记评估中心</t>
        </is>
      </c>
      <c r="D10" s="14" t="n">
        <v>180000</v>
      </c>
      <c r="E10" s="14" t="n">
        <v>0</v>
      </c>
      <c r="F10" s="12" t="inlineStr">
        <is>
          <t>0.0%</t>
        </is>
      </c>
      <c r="G10" s="14" t="n">
        <v>180000</v>
      </c>
      <c r="H10" s="14" t="n">
        <v>72000</v>
      </c>
      <c r="I10" s="12" t="inlineStr">
        <is>
          <t>40.0%</t>
        </is>
      </c>
      <c r="J10" s="18" t="inlineStr">
        <is>
          <t>未启动</t>
        </is>
      </c>
      <c r="K10" s="13" t="inlineStr">
        <is>
          <t>赵宇涵</t>
        </is>
      </c>
    </row>
    <row r="11">
      <c r="A11" s="19" t="n"/>
      <c r="B11" s="19" t="n"/>
      <c r="C11" s="20" t="inlineStr">
        <is>
          <t>合计</t>
        </is>
      </c>
      <c r="D11" s="21">
        <f>SUM(D5:D10)</f>
        <v/>
      </c>
      <c r="E11" s="21">
        <f>SUM(E5:E10)</f>
        <v/>
      </c>
      <c r="F11" s="22">
        <f>E11/D11</f>
        <v/>
      </c>
      <c r="G11" s="21">
        <f>SUM(G5:G10)</f>
        <v/>
      </c>
      <c r="H11" s="21">
        <f>SUM(H5:H10)</f>
        <v/>
      </c>
      <c r="I11" s="22">
        <f>H11/D11</f>
        <v/>
      </c>
      <c r="J11" s="19" t="n"/>
      <c r="K11" s="19" t="n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8" customWidth="1" min="9" max="9"/>
    <col width="20" customWidth="1" min="10" max="10"/>
  </cols>
  <sheetData>
    <row r="1">
      <c r="A1" s="10" t="inlineStr">
        <is>
          <t>收款执行跟踪表</t>
        </is>
      </c>
    </row>
    <row r="3">
      <c r="A3" s="11" t="inlineStr">
        <is>
          <t>序号</t>
        </is>
      </c>
      <c r="B3" s="11" t="inlineStr">
        <is>
          <t>项目名称</t>
        </is>
      </c>
      <c r="C3" s="11" t="inlineStr">
        <is>
          <t>合同金额</t>
        </is>
      </c>
      <c r="D3" s="11" t="inlineStr">
        <is>
          <t>已收款金额</t>
        </is>
      </c>
      <c r="E3" s="11" t="inlineStr">
        <is>
          <t>收款进度</t>
        </is>
      </c>
      <c r="F3" s="11" t="inlineStr">
        <is>
          <t>未收款金额</t>
        </is>
      </c>
      <c r="G3" s="11" t="inlineStr">
        <is>
          <t>预计收款时间</t>
        </is>
      </c>
      <c r="H3" s="11" t="inlineStr">
        <is>
          <t>收款风险等级</t>
        </is>
      </c>
      <c r="I3" s="11" t="inlineStr">
        <is>
          <t>收款预警</t>
        </is>
      </c>
      <c r="J3" s="11" t="inlineStr">
        <is>
          <t>备注</t>
        </is>
      </c>
    </row>
    <row r="4">
      <c r="A4" s="12" t="n">
        <v>1</v>
      </c>
      <c r="B4" s="13" t="inlineStr">
        <is>
          <t>静象文旅</t>
        </is>
      </c>
      <c r="C4" s="14" t="n">
        <v>110000</v>
      </c>
      <c r="D4" s="14" t="n">
        <v>66000</v>
      </c>
      <c r="E4" s="23" t="n">
        <v>0.6</v>
      </c>
      <c r="F4" s="14" t="n">
        <v>44000</v>
      </c>
      <c r="G4" s="12" t="inlineStr">
        <is>
          <t>待确认</t>
        </is>
      </c>
      <c r="H4" s="16" t="inlineStr">
        <is>
          <t>低风险</t>
        </is>
      </c>
      <c r="I4" s="12" t="inlineStr">
        <is>
          <t>正常</t>
        </is>
      </c>
      <c r="J4" s="13" t="inlineStr"/>
    </row>
    <row r="5">
      <c r="A5" s="12" t="n">
        <v>2</v>
      </c>
      <c r="B5" s="13" t="inlineStr">
        <is>
          <t>滨海农商</t>
        </is>
      </c>
      <c r="C5" s="14" t="n">
        <v>80000</v>
      </c>
      <c r="D5" s="14" t="n">
        <v>40000</v>
      </c>
      <c r="E5" s="23" t="n">
        <v>0.5</v>
      </c>
      <c r="F5" s="14" t="n">
        <v>40000</v>
      </c>
      <c r="G5" s="12" t="inlineStr">
        <is>
          <t>待确认</t>
        </is>
      </c>
      <c r="H5" s="16" t="inlineStr">
        <is>
          <t>低风险</t>
        </is>
      </c>
      <c r="I5" s="12" t="inlineStr">
        <is>
          <t>正常</t>
        </is>
      </c>
      <c r="J5" s="13" t="inlineStr"/>
    </row>
    <row r="6">
      <c r="A6" s="12" t="n">
        <v>3</v>
      </c>
      <c r="B6" s="13" t="inlineStr">
        <is>
          <t>随行科技</t>
        </is>
      </c>
      <c r="C6" s="14" t="n">
        <v>94400</v>
      </c>
      <c r="D6" s="14" t="n">
        <v>94400</v>
      </c>
      <c r="E6" s="23" t="n">
        <v>1</v>
      </c>
      <c r="F6" s="14" t="n">
        <v>0</v>
      </c>
      <c r="G6" s="12" t="inlineStr">
        <is>
          <t>待确认</t>
        </is>
      </c>
      <c r="H6" s="16" t="inlineStr">
        <is>
          <t>无风险</t>
        </is>
      </c>
      <c r="I6" s="12" t="inlineStr">
        <is>
          <t>-</t>
        </is>
      </c>
      <c r="J6" s="13" t="inlineStr">
        <is>
          <t>项目已完成</t>
        </is>
      </c>
    </row>
    <row r="7">
      <c r="A7" s="12" t="n">
        <v>4</v>
      </c>
      <c r="B7" s="13" t="inlineStr">
        <is>
          <t>骏铭科技</t>
        </is>
      </c>
      <c r="C7" s="14" t="n">
        <v>171000</v>
      </c>
      <c r="D7" s="14" t="n">
        <v>90000</v>
      </c>
      <c r="E7" s="23" t="n">
        <v>0.526315789473684</v>
      </c>
      <c r="F7" s="14" t="n">
        <v>81000</v>
      </c>
      <c r="G7" s="12" t="inlineStr">
        <is>
          <t>待确认</t>
        </is>
      </c>
      <c r="H7" s="16" t="inlineStr">
        <is>
          <t>低风险</t>
        </is>
      </c>
      <c r="I7" s="12" t="inlineStr">
        <is>
          <t>正常</t>
        </is>
      </c>
      <c r="J7" s="13" t="inlineStr"/>
    </row>
    <row r="8">
      <c r="A8" s="12" t="n">
        <v>5</v>
      </c>
      <c r="B8" s="13" t="inlineStr">
        <is>
          <t>光电高斯</t>
        </is>
      </c>
      <c r="C8" s="14" t="n">
        <v>225000</v>
      </c>
      <c r="D8" s="14" t="n">
        <v>108000</v>
      </c>
      <c r="E8" s="23" t="n">
        <v>0.48</v>
      </c>
      <c r="F8" s="14" t="n">
        <v>117000</v>
      </c>
      <c r="G8" s="12" t="inlineStr">
        <is>
          <t>待确认</t>
        </is>
      </c>
      <c r="H8" s="24" t="inlineStr">
        <is>
          <t>中风险</t>
        </is>
      </c>
      <c r="I8" s="12" t="inlineStr">
        <is>
          <t>⚠ 收款进度偏低</t>
        </is>
      </c>
      <c r="J8" s="13" t="inlineStr"/>
    </row>
    <row r="9">
      <c r="A9" s="12" t="n">
        <v>6</v>
      </c>
      <c r="B9" s="13" t="inlineStr">
        <is>
          <t>中交疏浚</t>
        </is>
      </c>
      <c r="C9" s="14" t="n">
        <v>180000</v>
      </c>
      <c r="D9" s="14" t="n">
        <v>0</v>
      </c>
      <c r="E9" s="23" t="n">
        <v>0</v>
      </c>
      <c r="F9" s="14" t="n">
        <v>180000</v>
      </c>
      <c r="G9" s="12" t="inlineStr">
        <is>
          <t>待确认</t>
        </is>
      </c>
      <c r="H9" s="25" t="inlineStr">
        <is>
          <t>高风险</t>
        </is>
      </c>
      <c r="I9" s="12" t="inlineStr">
        <is>
          <t>⚠ 项目未启动收款</t>
        </is>
      </c>
      <c r="J9" s="13" t="inlineStr"/>
    </row>
    <row r="10">
      <c r="A10" s="19" t="n"/>
      <c r="B10" s="20" t="inlineStr">
        <is>
          <t>合计</t>
        </is>
      </c>
      <c r="C10" s="21">
        <f>SUM(C4:C9)</f>
        <v/>
      </c>
      <c r="D10" s="21">
        <f>SUM(D4:D9)</f>
        <v/>
      </c>
      <c r="E10" s="22">
        <f>D10/C10</f>
        <v/>
      </c>
      <c r="F10" s="21">
        <f>SUM(F4:F9)</f>
        <v/>
      </c>
      <c r="G10" s="19" t="n"/>
      <c r="H10" s="19" t="n"/>
      <c r="I10" s="19" t="n"/>
      <c r="J10" s="19" t="n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20" customWidth="1" min="8" max="8"/>
    <col width="16" customWidth="1" min="9" max="9"/>
    <col width="15" customWidth="1" min="10" max="10"/>
  </cols>
  <sheetData>
    <row r="1">
      <c r="A1" s="10" t="inlineStr">
        <is>
          <t>开票管理表</t>
        </is>
      </c>
    </row>
    <row r="3">
      <c r="A3" s="11" t="inlineStr">
        <is>
          <t>序号</t>
        </is>
      </c>
      <c r="B3" s="11" t="inlineStr">
        <is>
          <t>项目名称</t>
        </is>
      </c>
      <c r="C3" s="11" t="inlineStr">
        <is>
          <t>合同金额</t>
        </is>
      </c>
      <c r="D3" s="11" t="inlineStr">
        <is>
          <t>已开票金额</t>
        </is>
      </c>
      <c r="E3" s="11" t="inlineStr">
        <is>
          <t>开票进度</t>
        </is>
      </c>
      <c r="F3" s="11" t="inlineStr">
        <is>
          <t>剩余发票金额</t>
        </is>
      </c>
      <c r="G3" s="11" t="inlineStr">
        <is>
          <t>待开票金额</t>
        </is>
      </c>
      <c r="H3" s="11" t="inlineStr">
        <is>
          <t>开票预警</t>
        </is>
      </c>
      <c r="I3" s="11" t="inlineStr">
        <is>
          <t>发票类型</t>
        </is>
      </c>
      <c r="J3" s="11" t="inlineStr">
        <is>
          <t>备注</t>
        </is>
      </c>
    </row>
    <row r="4">
      <c r="A4" s="12" t="n">
        <v>1</v>
      </c>
      <c r="B4" s="13" t="inlineStr">
        <is>
          <t>静象文旅</t>
        </is>
      </c>
      <c r="C4" s="14" t="n">
        <v>110000</v>
      </c>
      <c r="D4" s="14" t="n">
        <v>66000</v>
      </c>
      <c r="E4" s="23" t="n">
        <v>0.6</v>
      </c>
      <c r="F4" s="14" t="n">
        <v>44000</v>
      </c>
      <c r="G4" s="14" t="n">
        <v>44000</v>
      </c>
      <c r="H4" s="16" t="inlineStr">
        <is>
          <t>正常</t>
        </is>
      </c>
      <c r="I4" s="12" t="inlineStr">
        <is>
          <t>增值税专用发票</t>
        </is>
      </c>
      <c r="J4" s="13" t="inlineStr"/>
    </row>
    <row r="5">
      <c r="A5" s="12" t="n">
        <v>2</v>
      </c>
      <c r="B5" s="13" t="inlineStr">
        <is>
          <t>滨海农商</t>
        </is>
      </c>
      <c r="C5" s="14" t="n">
        <v>80000</v>
      </c>
      <c r="D5" s="14" t="n">
        <v>40000</v>
      </c>
      <c r="E5" s="23" t="n">
        <v>0.5</v>
      </c>
      <c r="F5" s="14" t="n">
        <v>40000</v>
      </c>
      <c r="G5" s="14" t="n">
        <v>40000</v>
      </c>
      <c r="H5" s="16" t="inlineStr">
        <is>
          <t>正常</t>
        </is>
      </c>
      <c r="I5" s="12" t="inlineStr">
        <is>
          <t>增值税专用发票</t>
        </is>
      </c>
      <c r="J5" s="13" t="inlineStr"/>
    </row>
    <row r="6">
      <c r="A6" s="12" t="n">
        <v>3</v>
      </c>
      <c r="B6" s="13" t="inlineStr">
        <is>
          <t>随行科技</t>
        </is>
      </c>
      <c r="C6" s="14" t="n">
        <v>94400</v>
      </c>
      <c r="D6" s="14" t="n">
        <v>94400</v>
      </c>
      <c r="E6" s="23" t="n">
        <v>1</v>
      </c>
      <c r="F6" s="14" t="n">
        <v>0</v>
      </c>
      <c r="G6" s="14" t="n">
        <v>0</v>
      </c>
      <c r="H6" s="16" t="inlineStr">
        <is>
          <t>✓ 开票完成</t>
        </is>
      </c>
      <c r="I6" s="12" t="inlineStr">
        <is>
          <t>增值税专用发票</t>
        </is>
      </c>
      <c r="J6" s="13" t="inlineStr"/>
    </row>
    <row r="7">
      <c r="A7" s="12" t="n">
        <v>4</v>
      </c>
      <c r="B7" s="13" t="inlineStr">
        <is>
          <t>骏铭科技</t>
        </is>
      </c>
      <c r="C7" s="14" t="n">
        <v>171000</v>
      </c>
      <c r="D7" s="14" t="n">
        <v>90000</v>
      </c>
      <c r="E7" s="23" t="n">
        <v>0.526315789473684</v>
      </c>
      <c r="F7" s="14" t="n">
        <v>81000</v>
      </c>
      <c r="G7" s="14" t="n">
        <v>81000</v>
      </c>
      <c r="H7" s="16" t="inlineStr">
        <is>
          <t>正常</t>
        </is>
      </c>
      <c r="I7" s="12" t="inlineStr">
        <is>
          <t>增值税专用发票</t>
        </is>
      </c>
      <c r="J7" s="13" t="inlineStr"/>
    </row>
    <row r="8">
      <c r="A8" s="12" t="n">
        <v>5</v>
      </c>
      <c r="B8" s="13" t="inlineStr">
        <is>
          <t>光电高斯</t>
        </is>
      </c>
      <c r="C8" s="14" t="n">
        <v>225000</v>
      </c>
      <c r="D8" s="14" t="n">
        <v>108000</v>
      </c>
      <c r="E8" s="23" t="n">
        <v>0.48</v>
      </c>
      <c r="F8" s="14" t="n">
        <v>117000</v>
      </c>
      <c r="G8" s="14" t="n">
        <v>117000</v>
      </c>
      <c r="H8" s="16" t="inlineStr">
        <is>
          <t>正常</t>
        </is>
      </c>
      <c r="I8" s="12" t="inlineStr">
        <is>
          <t>增值税专用发票</t>
        </is>
      </c>
      <c r="J8" s="13" t="inlineStr"/>
    </row>
    <row r="9">
      <c r="A9" s="12" t="n">
        <v>6</v>
      </c>
      <c r="B9" s="13" t="inlineStr">
        <is>
          <t>中交疏浚</t>
        </is>
      </c>
      <c r="C9" s="14" t="n">
        <v>180000</v>
      </c>
      <c r="D9" s="14" t="n">
        <v>72000</v>
      </c>
      <c r="E9" s="23" t="n">
        <v>0.4</v>
      </c>
      <c r="F9" s="14" t="n">
        <v>108000</v>
      </c>
      <c r="G9" s="14" t="n">
        <v>108000</v>
      </c>
      <c r="H9" s="16" t="inlineStr">
        <is>
          <t>正常</t>
        </is>
      </c>
      <c r="I9" s="12" t="inlineStr">
        <is>
          <t>增值税专用发票</t>
        </is>
      </c>
      <c r="J9" s="13" t="inlineStr"/>
    </row>
    <row r="10">
      <c r="A10" s="19" t="n"/>
      <c r="B10" s="20" t="inlineStr">
        <is>
          <t>合计</t>
        </is>
      </c>
      <c r="C10" s="21">
        <f>SUM(C4:C9)</f>
        <v/>
      </c>
      <c r="D10" s="21">
        <f>SUM(D4:D9)</f>
        <v/>
      </c>
      <c r="E10" s="22">
        <f>D10/C10</f>
        <v/>
      </c>
      <c r="F10" s="21">
        <f>SUM(F4:F9)</f>
        <v/>
      </c>
      <c r="G10" s="21">
        <f>SUM(G4:G9)</f>
        <v/>
      </c>
      <c r="H10" s="19" t="n"/>
      <c r="I10" s="19" t="n"/>
      <c r="J10" s="19" t="n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  <col width="16" customWidth="1" min="9" max="9"/>
    <col width="14" customWidth="1" min="10" max="10"/>
    <col width="15" customWidth="1" min="11" max="11"/>
  </cols>
  <sheetData>
    <row r="1">
      <c r="A1" s="10" t="inlineStr">
        <is>
          <t>成本支出管理表</t>
        </is>
      </c>
    </row>
    <row r="3">
      <c r="A3" s="11" t="inlineStr">
        <is>
          <t>序号</t>
        </is>
      </c>
      <c r="B3" s="11" t="inlineStr">
        <is>
          <t>项目名称</t>
        </is>
      </c>
      <c r="C3" s="11" t="inlineStr">
        <is>
          <t>合同金额</t>
        </is>
      </c>
      <c r="D3" s="11" t="inlineStr">
        <is>
          <t>预算成本</t>
        </is>
      </c>
      <c r="E3" s="11" t="inlineStr">
        <is>
          <t>成本率</t>
        </is>
      </c>
      <c r="F3" s="11" t="inlineStr">
        <is>
          <t>已付款</t>
        </is>
      </c>
      <c r="G3" s="11" t="inlineStr">
        <is>
          <t>未付款</t>
        </is>
      </c>
      <c r="H3" s="11" t="inlineStr">
        <is>
          <t>付款进度</t>
        </is>
      </c>
      <c r="I3" s="11" t="inlineStr">
        <is>
          <t>成本预警</t>
        </is>
      </c>
      <c r="J3" s="11" t="inlineStr">
        <is>
          <t>成本控制状态</t>
        </is>
      </c>
      <c r="K3" s="11" t="inlineStr">
        <is>
          <t>备注</t>
        </is>
      </c>
    </row>
    <row r="4">
      <c r="A4" s="12" t="n">
        <v>1</v>
      </c>
      <c r="B4" s="13" t="inlineStr">
        <is>
          <t>静象文旅</t>
        </is>
      </c>
      <c r="C4" s="14" t="n">
        <v>110000</v>
      </c>
      <c r="D4" s="14" t="n">
        <v>38000</v>
      </c>
      <c r="E4" s="23" t="n">
        <v>0.3454545454545455</v>
      </c>
      <c r="F4" s="14" t="n">
        <v>11000</v>
      </c>
      <c r="G4" s="14" t="n">
        <v>27000</v>
      </c>
      <c r="H4" s="23" t="n">
        <v>0.2894736842105263</v>
      </c>
      <c r="I4" s="16" t="inlineStr">
        <is>
          <t>✓ 成本可控</t>
        </is>
      </c>
      <c r="J4" s="12" t="inlineStr">
        <is>
          <t>良好</t>
        </is>
      </c>
      <c r="K4" s="13" t="inlineStr"/>
    </row>
    <row r="5">
      <c r="A5" s="12" t="n">
        <v>2</v>
      </c>
      <c r="B5" s="13" t="inlineStr">
        <is>
          <t>滨海农商</t>
        </is>
      </c>
      <c r="C5" s="14" t="n">
        <v>80000</v>
      </c>
      <c r="D5" s="14" t="n">
        <v>45000</v>
      </c>
      <c r="E5" s="23" t="n">
        <v>0.5625</v>
      </c>
      <c r="F5" s="14" t="n">
        <v>0</v>
      </c>
      <c r="G5" s="14" t="n">
        <v>45000</v>
      </c>
      <c r="H5" s="23" t="n">
        <v>0</v>
      </c>
      <c r="I5" s="16" t="inlineStr">
        <is>
          <t>✓ 成本可控</t>
        </is>
      </c>
      <c r="J5" s="12" t="inlineStr">
        <is>
          <t>良好</t>
        </is>
      </c>
      <c r="K5" s="13" t="inlineStr"/>
    </row>
    <row r="6">
      <c r="A6" s="12" t="n">
        <v>3</v>
      </c>
      <c r="B6" s="13" t="inlineStr">
        <is>
          <t>随行科技</t>
        </is>
      </c>
      <c r="C6" s="14" t="n">
        <v>94400</v>
      </c>
      <c r="D6" s="14" t="n">
        <v>40900</v>
      </c>
      <c r="E6" s="23" t="n">
        <v>0.4332627118644068</v>
      </c>
      <c r="F6" s="14" t="n">
        <v>30900</v>
      </c>
      <c r="G6" s="14" t="n">
        <v>10000</v>
      </c>
      <c r="H6" s="23" t="n">
        <v>0.7555012224938875</v>
      </c>
      <c r="I6" s="16" t="inlineStr">
        <is>
          <t>✓ 成本可控</t>
        </is>
      </c>
      <c r="J6" s="12" t="inlineStr">
        <is>
          <t>良好</t>
        </is>
      </c>
      <c r="K6" s="13" t="inlineStr"/>
    </row>
    <row r="7">
      <c r="A7" s="12" t="n">
        <v>4</v>
      </c>
      <c r="B7" s="13" t="inlineStr">
        <is>
          <t>骏铭科技</t>
        </is>
      </c>
      <c r="C7" s="14" t="n">
        <v>171000</v>
      </c>
      <c r="D7" s="14" t="n">
        <v>40000</v>
      </c>
      <c r="E7" s="23" t="n">
        <v>0.2339181286549707</v>
      </c>
      <c r="F7" s="14" t="n">
        <v>0</v>
      </c>
      <c r="G7" s="14" t="n">
        <v>40000</v>
      </c>
      <c r="H7" s="23" t="n">
        <v>0</v>
      </c>
      <c r="I7" s="16" t="inlineStr">
        <is>
          <t>✓ 成本可控</t>
        </is>
      </c>
      <c r="J7" s="12" t="inlineStr">
        <is>
          <t>良好</t>
        </is>
      </c>
      <c r="K7" s="13" t="inlineStr"/>
    </row>
    <row r="8">
      <c r="A8" s="12" t="n">
        <v>5</v>
      </c>
      <c r="B8" s="13" t="inlineStr">
        <is>
          <t>光电高斯</t>
        </is>
      </c>
      <c r="C8" s="14" t="n">
        <v>225000</v>
      </c>
      <c r="D8" s="14" t="n">
        <v>58000</v>
      </c>
      <c r="E8" s="23" t="n">
        <v>0.2577777777777778</v>
      </c>
      <c r="F8" s="14" t="n">
        <v>0</v>
      </c>
      <c r="G8" s="14" t="n">
        <v>58000</v>
      </c>
      <c r="H8" s="23" t="n">
        <v>0</v>
      </c>
      <c r="I8" s="16" t="inlineStr">
        <is>
          <t>✓ 成本可控</t>
        </is>
      </c>
      <c r="J8" s="12" t="inlineStr">
        <is>
          <t>良好</t>
        </is>
      </c>
      <c r="K8" s="13" t="inlineStr"/>
    </row>
    <row r="9">
      <c r="A9" s="12" t="n">
        <v>6</v>
      </c>
      <c r="B9" s="13" t="inlineStr">
        <is>
          <t>中交疏浚</t>
        </is>
      </c>
      <c r="C9" s="14" t="n">
        <v>180000</v>
      </c>
      <c r="D9" s="14" t="n">
        <v>60000</v>
      </c>
      <c r="E9" s="23" t="n">
        <v>0.3333333333333333</v>
      </c>
      <c r="F9" s="14" t="n">
        <v>0</v>
      </c>
      <c r="G9" s="14" t="n">
        <v>60000</v>
      </c>
      <c r="H9" s="23" t="n">
        <v>0</v>
      </c>
      <c r="I9" s="16" t="inlineStr">
        <is>
          <t>✓ 成本可控</t>
        </is>
      </c>
      <c r="J9" s="12" t="inlineStr">
        <is>
          <t>良好</t>
        </is>
      </c>
      <c r="K9" s="13" t="inlineStr"/>
    </row>
    <row r="10">
      <c r="A10" s="19" t="n"/>
      <c r="B10" s="20" t="inlineStr">
        <is>
          <t>合计</t>
        </is>
      </c>
      <c r="C10" s="21">
        <f>SUM(C4:C9)</f>
        <v/>
      </c>
      <c r="D10" s="21">
        <f>SUM(D4:D9)</f>
        <v/>
      </c>
      <c r="E10" s="22">
        <f>D10/C10</f>
        <v/>
      </c>
      <c r="F10" s="21">
        <f>SUM(F4:F9)</f>
        <v/>
      </c>
      <c r="G10" s="21">
        <f>SUM(G4:G9)</f>
        <v/>
      </c>
      <c r="H10" s="22">
        <f>F10/D10</f>
        <v/>
      </c>
      <c r="I10" s="19" t="n"/>
      <c r="J10" s="19" t="n"/>
      <c r="K10" s="19" t="n"/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  <col width="16" customWidth="1" min="11" max="11"/>
    <col width="15" customWidth="1" min="12" max="12"/>
  </cols>
  <sheetData>
    <row r="1">
      <c r="A1" s="10" t="inlineStr">
        <is>
          <t>利润分析表</t>
        </is>
      </c>
    </row>
    <row r="3">
      <c r="A3" s="11" t="inlineStr">
        <is>
          <t>序号</t>
        </is>
      </c>
      <c r="B3" s="11" t="inlineStr">
        <is>
          <t>项目名称</t>
        </is>
      </c>
      <c r="C3" s="11" t="inlineStr">
        <is>
          <t>合同金额</t>
        </is>
      </c>
      <c r="D3" s="11" t="inlineStr">
        <is>
          <t>已收款金额</t>
        </is>
      </c>
      <c r="E3" s="11" t="inlineStr">
        <is>
          <t>预算成本</t>
        </is>
      </c>
      <c r="F3" s="11" t="inlineStr">
        <is>
          <t>已付款</t>
        </is>
      </c>
      <c r="G3" s="11" t="inlineStr">
        <is>
          <t>毛利润</t>
        </is>
      </c>
      <c r="H3" s="11" t="inlineStr">
        <is>
          <t>毛利率</t>
        </is>
      </c>
      <c r="I3" s="11" t="inlineStr">
        <is>
          <t>已确认利润</t>
        </is>
      </c>
      <c r="J3" s="11" t="inlineStr">
        <is>
          <t>利润实现率</t>
        </is>
      </c>
      <c r="K3" s="11" t="inlineStr">
        <is>
          <t>利润预警</t>
        </is>
      </c>
      <c r="L3" s="11" t="inlineStr">
        <is>
          <t>备注</t>
        </is>
      </c>
    </row>
    <row r="4">
      <c r="A4" s="12" t="n">
        <v>1</v>
      </c>
      <c r="B4" s="13" t="inlineStr">
        <is>
          <t>静象文旅</t>
        </is>
      </c>
      <c r="C4" s="14" t="n">
        <v>110000</v>
      </c>
      <c r="D4" s="14" t="n">
        <v>66000</v>
      </c>
      <c r="E4" s="14" t="n">
        <v>38000</v>
      </c>
      <c r="F4" s="14" t="n">
        <v>11000</v>
      </c>
      <c r="G4" s="14" t="n">
        <v>72000</v>
      </c>
      <c r="H4" s="23" t="n">
        <v>0.6545454545454545</v>
      </c>
      <c r="I4" s="14" t="n">
        <v>43200</v>
      </c>
      <c r="J4" s="23" t="n">
        <v>0.6</v>
      </c>
      <c r="K4" s="16" t="inlineStr">
        <is>
          <t>✓ 利润良好</t>
        </is>
      </c>
      <c r="L4" s="13" t="inlineStr"/>
    </row>
    <row r="5">
      <c r="A5" s="12" t="n">
        <v>2</v>
      </c>
      <c r="B5" s="13" t="inlineStr">
        <is>
          <t>滨海农商</t>
        </is>
      </c>
      <c r="C5" s="14" t="n">
        <v>80000</v>
      </c>
      <c r="D5" s="14" t="n">
        <v>40000</v>
      </c>
      <c r="E5" s="14" t="n">
        <v>45000</v>
      </c>
      <c r="F5" s="14" t="n">
        <v>0</v>
      </c>
      <c r="G5" s="14" t="n">
        <v>35000</v>
      </c>
      <c r="H5" s="23" t="n">
        <v>0.4375</v>
      </c>
      <c r="I5" s="14" t="n">
        <v>17500</v>
      </c>
      <c r="J5" s="23" t="n">
        <v>0.5</v>
      </c>
      <c r="K5" s="16" t="inlineStr">
        <is>
          <t>✓ 利润良好</t>
        </is>
      </c>
      <c r="L5" s="13" t="inlineStr"/>
    </row>
    <row r="6">
      <c r="A6" s="12" t="n">
        <v>3</v>
      </c>
      <c r="B6" s="13" t="inlineStr">
        <is>
          <t>随行科技</t>
        </is>
      </c>
      <c r="C6" s="14" t="n">
        <v>94400</v>
      </c>
      <c r="D6" s="14" t="n">
        <v>94400</v>
      </c>
      <c r="E6" s="14" t="n">
        <v>40900</v>
      </c>
      <c r="F6" s="14" t="n">
        <v>30900</v>
      </c>
      <c r="G6" s="14" t="n">
        <v>53500</v>
      </c>
      <c r="H6" s="23" t="n">
        <v>0.5667372881355932</v>
      </c>
      <c r="I6" s="14" t="n">
        <v>53500</v>
      </c>
      <c r="J6" s="23" t="n">
        <v>1</v>
      </c>
      <c r="K6" s="16" t="inlineStr">
        <is>
          <t>✓ 利润良好</t>
        </is>
      </c>
      <c r="L6" s="13" t="inlineStr"/>
    </row>
    <row r="7">
      <c r="A7" s="12" t="n">
        <v>4</v>
      </c>
      <c r="B7" s="13" t="inlineStr">
        <is>
          <t>骏铭科技</t>
        </is>
      </c>
      <c r="C7" s="14" t="n">
        <v>171000</v>
      </c>
      <c r="D7" s="14" t="n">
        <v>90000</v>
      </c>
      <c r="E7" s="14" t="n">
        <v>40000</v>
      </c>
      <c r="F7" s="14" t="n">
        <v>0</v>
      </c>
      <c r="G7" s="14" t="n">
        <v>131000</v>
      </c>
      <c r="H7" s="23" t="n">
        <v>0.7660818713450293</v>
      </c>
      <c r="I7" s="14" t="n">
        <v>68947.36842105263</v>
      </c>
      <c r="J7" s="23" t="n">
        <v>0.5263157894736842</v>
      </c>
      <c r="K7" s="16" t="inlineStr">
        <is>
          <t>✓ 利润良好</t>
        </is>
      </c>
      <c r="L7" s="13" t="inlineStr"/>
    </row>
    <row r="8">
      <c r="A8" s="12" t="n">
        <v>5</v>
      </c>
      <c r="B8" s="13" t="inlineStr">
        <is>
          <t>光电高斯</t>
        </is>
      </c>
      <c r="C8" s="14" t="n">
        <v>225000</v>
      </c>
      <c r="D8" s="14" t="n">
        <v>108000</v>
      </c>
      <c r="E8" s="14" t="n">
        <v>58000</v>
      </c>
      <c r="F8" s="14" t="n">
        <v>0</v>
      </c>
      <c r="G8" s="14" t="n">
        <v>167000</v>
      </c>
      <c r="H8" s="23" t="n">
        <v>0.7422222222222222</v>
      </c>
      <c r="I8" s="14" t="n">
        <v>80160</v>
      </c>
      <c r="J8" s="23" t="n">
        <v>0.48</v>
      </c>
      <c r="K8" s="16" t="inlineStr">
        <is>
          <t>✓ 利润良好</t>
        </is>
      </c>
      <c r="L8" s="13" t="inlineStr"/>
    </row>
    <row r="9">
      <c r="A9" s="12" t="n">
        <v>6</v>
      </c>
      <c r="B9" s="13" t="inlineStr">
        <is>
          <t>中交疏浚</t>
        </is>
      </c>
      <c r="C9" s="14" t="n">
        <v>180000</v>
      </c>
      <c r="D9" s="14" t="n">
        <v>0</v>
      </c>
      <c r="E9" s="14" t="n">
        <v>60000</v>
      </c>
      <c r="F9" s="14" t="n">
        <v>0</v>
      </c>
      <c r="G9" s="14" t="n">
        <v>120000</v>
      </c>
      <c r="H9" s="23" t="n">
        <v>0.6666666666666666</v>
      </c>
      <c r="I9" s="14" t="n">
        <v>0</v>
      </c>
      <c r="J9" s="23" t="n">
        <v>0</v>
      </c>
      <c r="K9" s="16" t="inlineStr">
        <is>
          <t>✓ 利润良好</t>
        </is>
      </c>
      <c r="L9" s="13" t="inlineStr"/>
    </row>
    <row r="10">
      <c r="A10" s="19" t="n"/>
      <c r="B10" s="20" t="inlineStr">
        <is>
          <t>合计</t>
        </is>
      </c>
      <c r="C10" s="21">
        <f>SUM(C4:C9)</f>
        <v/>
      </c>
      <c r="D10" s="21">
        <f>SUM(D4:D9)</f>
        <v/>
      </c>
      <c r="E10" s="21">
        <f>SUM(E4:E9)</f>
        <v/>
      </c>
      <c r="F10" s="21">
        <f>SUM(F4:F9)</f>
        <v/>
      </c>
      <c r="G10" s="21">
        <f>C10-E10</f>
        <v/>
      </c>
      <c r="H10" s="22">
        <f>G10/C10</f>
        <v/>
      </c>
      <c r="I10" s="21">
        <f>SUM(I4:I9)</f>
        <v/>
      </c>
      <c r="J10" s="22">
        <f>I10/G10</f>
        <v/>
      </c>
      <c r="K10" s="19" t="n"/>
      <c r="L10" s="19" t="n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5" customWidth="1" min="13" max="13"/>
  </cols>
  <sheetData>
    <row r="1">
      <c r="A1" s="10" t="inlineStr">
        <is>
          <t>预警分析表</t>
        </is>
      </c>
    </row>
    <row r="3">
      <c r="A3" s="11" t="inlineStr">
        <is>
          <t>序号</t>
        </is>
      </c>
      <c r="B3" s="11" t="inlineStr">
        <is>
          <t>项目名称</t>
        </is>
      </c>
      <c r="C3" s="11" t="inlineStr">
        <is>
          <t>合同金额</t>
        </is>
      </c>
      <c r="D3" s="11" t="inlineStr">
        <is>
          <t>收款进度</t>
        </is>
      </c>
      <c r="E3" s="11" t="inlineStr">
        <is>
          <t>开票进度</t>
        </is>
      </c>
      <c r="F3" s="11" t="inlineStr">
        <is>
          <t>成本率</t>
        </is>
      </c>
      <c r="G3" s="11" t="inlineStr">
        <is>
          <t>毛利率</t>
        </is>
      </c>
      <c r="H3" s="11" t="inlineStr">
        <is>
          <t>综合风险等级</t>
        </is>
      </c>
      <c r="I3" s="11" t="inlineStr">
        <is>
          <t>收款预警</t>
        </is>
      </c>
      <c r="J3" s="11" t="inlineStr">
        <is>
          <t>开票预警</t>
        </is>
      </c>
      <c r="K3" s="11" t="inlineStr">
        <is>
          <t>成本预警</t>
        </is>
      </c>
      <c r="L3" s="11" t="inlineStr">
        <is>
          <t>利润预警</t>
        </is>
      </c>
      <c r="M3" s="11" t="inlineStr">
        <is>
          <t>预警说明</t>
        </is>
      </c>
    </row>
    <row r="4">
      <c r="A4" s="12" t="n">
        <v>1</v>
      </c>
      <c r="B4" s="13" t="inlineStr">
        <is>
          <t>静象文旅</t>
        </is>
      </c>
      <c r="C4" s="14" t="n">
        <v>110000</v>
      </c>
      <c r="D4" s="23" t="n">
        <v>0.6</v>
      </c>
      <c r="E4" s="23" t="n">
        <v>0.6</v>
      </c>
      <c r="F4" s="23" t="n">
        <v>0.3454545454545455</v>
      </c>
      <c r="G4" s="23" t="n">
        <v>0.6545454545454545</v>
      </c>
      <c r="H4" s="26" t="inlineStr">
        <is>
          <t>低风险</t>
        </is>
      </c>
      <c r="I4" s="12" t="inlineStr">
        <is>
          <t>✓ 正常</t>
        </is>
      </c>
      <c r="J4" s="12" t="inlineStr">
        <is>
          <t>✓ 正常</t>
        </is>
      </c>
      <c r="K4" s="12" t="inlineStr">
        <is>
          <t>✓ 正常</t>
        </is>
      </c>
      <c r="L4" s="12" t="inlineStr">
        <is>
          <t>✓ 正常</t>
        </is>
      </c>
      <c r="M4" s="13" t="inlineStr">
        <is>
          <t>项目运行正常</t>
        </is>
      </c>
    </row>
    <row r="5">
      <c r="A5" s="12" t="n">
        <v>2</v>
      </c>
      <c r="B5" s="13" t="inlineStr">
        <is>
          <t>滨海农商</t>
        </is>
      </c>
      <c r="C5" s="14" t="n">
        <v>80000</v>
      </c>
      <c r="D5" s="23" t="n">
        <v>0.5</v>
      </c>
      <c r="E5" s="23" t="n">
        <v>0.5</v>
      </c>
      <c r="F5" s="23" t="n">
        <v>0.5625</v>
      </c>
      <c r="G5" s="23" t="n">
        <v>0.4375</v>
      </c>
      <c r="H5" s="26" t="inlineStr">
        <is>
          <t>低风险</t>
        </is>
      </c>
      <c r="I5" s="12" t="inlineStr">
        <is>
          <t>✓ 正常</t>
        </is>
      </c>
      <c r="J5" s="12" t="inlineStr">
        <is>
          <t>✓ 正常</t>
        </is>
      </c>
      <c r="K5" s="12" t="inlineStr">
        <is>
          <t>✓ 正常</t>
        </is>
      </c>
      <c r="L5" s="12" t="inlineStr">
        <is>
          <t>✓ 正常</t>
        </is>
      </c>
      <c r="M5" s="13" t="inlineStr">
        <is>
          <t>项目运行正常</t>
        </is>
      </c>
    </row>
    <row r="6">
      <c r="A6" s="12" t="n">
        <v>3</v>
      </c>
      <c r="B6" s="13" t="inlineStr">
        <is>
          <t>随行科技</t>
        </is>
      </c>
      <c r="C6" s="14" t="n">
        <v>94400</v>
      </c>
      <c r="D6" s="23" t="n">
        <v>1</v>
      </c>
      <c r="E6" s="23" t="n">
        <v>1</v>
      </c>
      <c r="F6" s="23" t="n">
        <v>0.4332627118644068</v>
      </c>
      <c r="G6" s="23" t="n">
        <v>0.5667372881355932</v>
      </c>
      <c r="H6" s="26" t="inlineStr">
        <is>
          <t>低风险</t>
        </is>
      </c>
      <c r="I6" s="12" t="inlineStr">
        <is>
          <t>✓ 正常</t>
        </is>
      </c>
      <c r="J6" s="12" t="inlineStr">
        <is>
          <t>✓ 正常</t>
        </is>
      </c>
      <c r="K6" s="12" t="inlineStr">
        <is>
          <t>✓ 正常</t>
        </is>
      </c>
      <c r="L6" s="12" t="inlineStr">
        <is>
          <t>✓ 正常</t>
        </is>
      </c>
      <c r="M6" s="13" t="inlineStr">
        <is>
          <t>项目运行正常</t>
        </is>
      </c>
    </row>
    <row r="7">
      <c r="A7" s="12" t="n">
        <v>4</v>
      </c>
      <c r="B7" s="13" t="inlineStr">
        <is>
          <t>骏铭科技</t>
        </is>
      </c>
      <c r="C7" s="14" t="n">
        <v>171000</v>
      </c>
      <c r="D7" s="23" t="n">
        <v>0.526315789473684</v>
      </c>
      <c r="E7" s="23" t="n">
        <v>0.526315789473684</v>
      </c>
      <c r="F7" s="23" t="n">
        <v>0.2339181286549707</v>
      </c>
      <c r="G7" s="23" t="n">
        <v>0.7660818713450293</v>
      </c>
      <c r="H7" s="26" t="inlineStr">
        <is>
          <t>低风险</t>
        </is>
      </c>
      <c r="I7" s="12" t="inlineStr">
        <is>
          <t>✓ 正常</t>
        </is>
      </c>
      <c r="J7" s="12" t="inlineStr">
        <is>
          <t>✓ 正常</t>
        </is>
      </c>
      <c r="K7" s="12" t="inlineStr">
        <is>
          <t>✓ 正常</t>
        </is>
      </c>
      <c r="L7" s="12" t="inlineStr">
        <is>
          <t>✓ 正常</t>
        </is>
      </c>
      <c r="M7" s="13" t="inlineStr">
        <is>
          <t>项目运行正常</t>
        </is>
      </c>
    </row>
    <row r="8">
      <c r="A8" s="12" t="n">
        <v>5</v>
      </c>
      <c r="B8" s="13" t="inlineStr">
        <is>
          <t>光电高斯</t>
        </is>
      </c>
      <c r="C8" s="14" t="n">
        <v>225000</v>
      </c>
      <c r="D8" s="23" t="n">
        <v>0.48</v>
      </c>
      <c r="E8" s="23" t="n">
        <v>0.48</v>
      </c>
      <c r="F8" s="23" t="n">
        <v>0.2577777777777778</v>
      </c>
      <c r="G8" s="23" t="n">
        <v>0.7422222222222222</v>
      </c>
      <c r="H8" s="26" t="inlineStr">
        <is>
          <t>中风险</t>
        </is>
      </c>
      <c r="I8" s="12" t="inlineStr">
        <is>
          <t>△ 进度慢</t>
        </is>
      </c>
      <c r="J8" s="12" t="inlineStr">
        <is>
          <t>✓ 正常</t>
        </is>
      </c>
      <c r="K8" s="12" t="inlineStr">
        <is>
          <t>✓ 正常</t>
        </is>
      </c>
      <c r="L8" s="12" t="inlineStr">
        <is>
          <t>✓ 正常</t>
        </is>
      </c>
      <c r="M8" s="13" t="inlineStr">
        <is>
          <t>需关注: 收款</t>
        </is>
      </c>
    </row>
    <row r="9">
      <c r="A9" s="12" t="n">
        <v>6</v>
      </c>
      <c r="B9" s="13" t="inlineStr">
        <is>
          <t>中交疏浚</t>
        </is>
      </c>
      <c r="C9" s="14" t="n">
        <v>180000</v>
      </c>
      <c r="D9" s="23" t="n">
        <v>0</v>
      </c>
      <c r="E9" s="23" t="n">
        <v>0.4</v>
      </c>
      <c r="F9" s="23" t="n">
        <v>0.3333333333333333</v>
      </c>
      <c r="G9" s="23" t="n">
        <v>0.6666666666666666</v>
      </c>
      <c r="H9" s="26" t="inlineStr">
        <is>
          <t>中风险</t>
        </is>
      </c>
      <c r="I9" s="12" t="inlineStr">
        <is>
          <t>⚠ 未收款</t>
        </is>
      </c>
      <c r="J9" s="12" t="inlineStr">
        <is>
          <t>✓ 正常</t>
        </is>
      </c>
      <c r="K9" s="12" t="inlineStr">
        <is>
          <t>✓ 正常</t>
        </is>
      </c>
      <c r="L9" s="12" t="inlineStr">
        <is>
          <t>✓ 正常</t>
        </is>
      </c>
      <c r="M9" s="13" t="inlineStr">
        <is>
          <t>需关注: 收款</t>
        </is>
      </c>
    </row>
    <row r="11">
      <c r="B11" s="27" t="inlineStr">
        <is>
          <t>预警统计</t>
        </is>
      </c>
    </row>
    <row r="12">
      <c r="B12" s="28" t="inlineStr">
        <is>
          <t>高风险项目数</t>
        </is>
      </c>
      <c r="C12" s="29">
        <f>COUNTIF(H4:H9,"高风险")</f>
        <v/>
      </c>
    </row>
    <row r="13">
      <c r="B13" s="30" t="inlineStr">
        <is>
          <t>中风险项目数</t>
        </is>
      </c>
      <c r="C13" s="29">
        <f>COUNTIF(H4:H9,"中风险")</f>
        <v/>
      </c>
    </row>
    <row r="14">
      <c r="B14" s="30" t="inlineStr">
        <is>
          <t>低风险项目数</t>
        </is>
      </c>
      <c r="C14" s="29">
        <f>COUNTIF(H4:H9,"低风险")</f>
        <v/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5" customWidth="1" min="3" max="3"/>
    <col width="14" customWidth="1" min="4" max="4"/>
    <col width="14" customWidth="1" min="5" max="5"/>
    <col width="14" customWidth="1" min="6" max="6"/>
    <col width="12" customWidth="1" min="7" max="7"/>
    <col width="20" customWidth="1" min="8" max="8"/>
  </cols>
  <sheetData>
    <row r="1">
      <c r="A1" s="10" t="inlineStr">
        <is>
          <t>成本明细表</t>
        </is>
      </c>
    </row>
    <row r="3">
      <c r="A3" s="11" t="inlineStr">
        <is>
          <t>序号</t>
        </is>
      </c>
      <c r="B3" s="11" t="inlineStr">
        <is>
          <t>所属项目</t>
        </is>
      </c>
      <c r="C3" s="11" t="inlineStr">
        <is>
          <t>成本项名称</t>
        </is>
      </c>
      <c r="D3" s="11" t="inlineStr">
        <is>
          <t>成本金额</t>
        </is>
      </c>
      <c r="E3" s="11" t="inlineStr">
        <is>
          <t>已付款</t>
        </is>
      </c>
      <c r="F3" s="11" t="inlineStr">
        <is>
          <t>未付款</t>
        </is>
      </c>
      <c r="G3" s="11" t="inlineStr">
        <is>
          <t>付款进度</t>
        </is>
      </c>
      <c r="H3" s="11" t="inlineStr">
        <is>
          <t>供应商</t>
        </is>
      </c>
    </row>
    <row r="4">
      <c r="A4" s="12" t="n">
        <v>1</v>
      </c>
      <c r="B4" s="13" t="inlineStr">
        <is>
          <t>静象文旅</t>
        </is>
      </c>
      <c r="C4" s="13" t="inlineStr">
        <is>
          <t>静象——合规认定专项服务合同——北京中闻</t>
        </is>
      </c>
      <c r="D4" s="14" t="n">
        <v>2000</v>
      </c>
      <c r="E4" s="14" t="n">
        <v>0</v>
      </c>
      <c r="F4" s="14" t="n">
        <v>2000</v>
      </c>
      <c r="G4" s="23" t="n">
        <v>0</v>
      </c>
      <c r="H4" s="13" t="inlineStr">
        <is>
          <t>北京中闻</t>
        </is>
      </c>
    </row>
    <row r="5">
      <c r="A5" s="12" t="n">
        <v>2</v>
      </c>
      <c r="B5" s="13" t="inlineStr">
        <is>
          <t>静象文旅</t>
        </is>
      </c>
      <c r="C5" s="13" t="inlineStr">
        <is>
          <t>静象——价值评估专项服务合同——方圆</t>
        </is>
      </c>
      <c r="D5" s="14" t="n">
        <v>10000</v>
      </c>
      <c r="E5" s="14" t="n">
        <v>0</v>
      </c>
      <c r="F5" s="14" t="n">
        <v>10000</v>
      </c>
      <c r="G5" s="23" t="n">
        <v>0</v>
      </c>
      <c r="H5" s="13" t="inlineStr">
        <is>
          <t>方圆</t>
        </is>
      </c>
    </row>
    <row r="6">
      <c r="A6" s="12" t="n">
        <v>3</v>
      </c>
      <c r="B6" s="13" t="inlineStr">
        <is>
          <t>静象文旅</t>
        </is>
      </c>
      <c r="C6" s="13" t="inlineStr">
        <is>
          <t>静象——审计核验专项服务合同——中合诚</t>
        </is>
      </c>
      <c r="D6" s="14" t="n">
        <v>10000</v>
      </c>
      <c r="E6" s="14" t="n">
        <v>0</v>
      </c>
      <c r="F6" s="14" t="n">
        <v>10000</v>
      </c>
      <c r="G6" s="23" t="n">
        <v>0</v>
      </c>
      <c r="H6" s="13" t="inlineStr">
        <is>
          <t>中合诚</t>
        </is>
      </c>
    </row>
    <row r="7">
      <c r="A7" s="12" t="n">
        <v>4</v>
      </c>
      <c r="B7" s="13" t="inlineStr">
        <is>
          <t>静象文旅</t>
        </is>
      </c>
      <c r="C7" s="13" t="inlineStr">
        <is>
          <t>静象——数据评价专项服务合同——通广云合</t>
        </is>
      </c>
      <c r="D7" s="14" t="n">
        <v>5000</v>
      </c>
      <c r="E7" s="14" t="n">
        <v>0</v>
      </c>
      <c r="F7" s="14" t="n">
        <v>5000</v>
      </c>
      <c r="G7" s="23" t="n">
        <v>0</v>
      </c>
      <c r="H7" s="13" t="inlineStr">
        <is>
          <t>通广云合</t>
        </is>
      </c>
    </row>
    <row r="8">
      <c r="A8" s="12" t="n">
        <v>5</v>
      </c>
      <c r="B8" s="13" t="inlineStr">
        <is>
          <t>静象文旅</t>
        </is>
      </c>
      <c r="C8" s="13" t="inlineStr">
        <is>
          <t>静象——数据资产评估专项合作协议——天津数据资产登记评估中心</t>
        </is>
      </c>
      <c r="D8" s="14" t="n">
        <v>11000</v>
      </c>
      <c r="E8" s="14" t="n">
        <v>11000</v>
      </c>
      <c r="F8" s="14" t="n">
        <v>0</v>
      </c>
      <c r="G8" s="23" t="n">
        <v>1</v>
      </c>
      <c r="H8" s="13" t="inlineStr">
        <is>
          <t>天津数据资产登记评估中心</t>
        </is>
      </c>
    </row>
    <row r="9">
      <c r="A9" s="12" t="n">
        <v>6</v>
      </c>
      <c r="B9" s="13" t="inlineStr">
        <is>
          <t>滨海农商</t>
        </is>
      </c>
      <c r="C9" s="13" t="inlineStr">
        <is>
          <t>滨农——合规认定法律服务合同——北京大成</t>
        </is>
      </c>
      <c r="D9" s="14" t="n">
        <v>5000</v>
      </c>
      <c r="E9" s="14" t="n">
        <v>0</v>
      </c>
      <c r="F9" s="14" t="n">
        <v>5000</v>
      </c>
      <c r="G9" s="23" t="n">
        <v>0</v>
      </c>
      <c r="H9" s="13" t="inlineStr">
        <is>
          <t>北京大成</t>
        </is>
      </c>
    </row>
    <row r="10">
      <c r="A10" s="12" t="n">
        <v>7</v>
      </c>
      <c r="B10" s="13" t="inlineStr">
        <is>
          <t>滨海农商</t>
        </is>
      </c>
      <c r="C10" s="13" t="inlineStr">
        <is>
          <t>滨农——价值评估专项服务合同——天津方圆</t>
        </is>
      </c>
      <c r="D10" s="14" t="n">
        <v>10000</v>
      </c>
      <c r="E10" s="14" t="n">
        <v>0</v>
      </c>
      <c r="F10" s="14" t="n">
        <v>10000</v>
      </c>
      <c r="G10" s="23" t="n">
        <v>0</v>
      </c>
      <c r="H10" s="13" t="inlineStr">
        <is>
          <t>天津方圆</t>
        </is>
      </c>
    </row>
    <row r="11">
      <c r="A11" s="12" t="n">
        <v>8</v>
      </c>
      <c r="B11" s="13" t="inlineStr">
        <is>
          <t>滨海农商</t>
        </is>
      </c>
      <c r="C11" s="13" t="inlineStr">
        <is>
          <t>滨农——数据评价报告服务合同——国家信息中心</t>
        </is>
      </c>
      <c r="D11" s="14" t="n">
        <v>10000</v>
      </c>
      <c r="E11" s="14" t="n">
        <v>0</v>
      </c>
      <c r="F11" s="14" t="n">
        <v>10000</v>
      </c>
      <c r="G11" s="23" t="n">
        <v>0</v>
      </c>
      <c r="H11" s="13" t="inlineStr">
        <is>
          <t>国家信息中心</t>
        </is>
      </c>
    </row>
    <row r="12">
      <c r="A12" s="12" t="n">
        <v>9</v>
      </c>
      <c r="B12" s="13" t="inlineStr">
        <is>
          <t>滨海农商</t>
        </is>
      </c>
      <c r="C12" s="13" t="inlineStr">
        <is>
          <t>滨农——数据资产审计核验服务合同——中审华</t>
        </is>
      </c>
      <c r="D12" s="14" t="n">
        <v>10000</v>
      </c>
      <c r="E12" s="14" t="n">
        <v>0</v>
      </c>
      <c r="F12" s="14" t="n">
        <v>10000</v>
      </c>
      <c r="G12" s="23" t="n">
        <v>0</v>
      </c>
      <c r="H12" s="13" t="inlineStr">
        <is>
          <t>中审华</t>
        </is>
      </c>
    </row>
    <row r="13">
      <c r="A13" s="12" t="n">
        <v>10</v>
      </c>
      <c r="B13" s="13" t="inlineStr">
        <is>
          <t>滨海农商</t>
        </is>
      </c>
      <c r="C13" s="13" t="inlineStr">
        <is>
          <t>滨农——数据资产审计核验服务合同——中审华</t>
        </is>
      </c>
      <c r="D13" s="14" t="n">
        <v>10000</v>
      </c>
      <c r="E13" s="14" t="n">
        <v>0</v>
      </c>
      <c r="F13" s="14" t="n">
        <v>10000</v>
      </c>
      <c r="G13" s="23" t="n">
        <v>0</v>
      </c>
      <c r="H13" s="13" t="inlineStr">
        <is>
          <t>中审华</t>
        </is>
      </c>
    </row>
    <row r="14">
      <c r="A14" s="12" t="n">
        <v>11</v>
      </c>
      <c r="B14" s="13" t="inlineStr">
        <is>
          <t>随行科技</t>
        </is>
      </c>
      <c r="C14" s="13" t="inlineStr">
        <is>
          <t>随行——价值评估专项服务合同——中兴财</t>
        </is>
      </c>
      <c r="D14" s="14" t="n">
        <v>8000</v>
      </c>
      <c r="E14" s="14" t="n">
        <v>8000</v>
      </c>
      <c r="F14" s="14" t="n">
        <v>0</v>
      </c>
      <c r="G14" s="23" t="n">
        <v>1</v>
      </c>
      <c r="H14" s="13" t="inlineStr">
        <is>
          <t>中兴财</t>
        </is>
      </c>
    </row>
    <row r="15">
      <c r="A15" s="12" t="n">
        <v>12</v>
      </c>
      <c r="B15" s="13" t="inlineStr">
        <is>
          <t>随行科技</t>
        </is>
      </c>
      <c r="C15" s="13" t="inlineStr">
        <is>
          <t>随行——审计核验专项服务合同——祥和</t>
        </is>
      </c>
      <c r="D15" s="14" t="n">
        <v>7000</v>
      </c>
      <c r="E15" s="14" t="n">
        <v>7000</v>
      </c>
      <c r="F15" s="14" t="n">
        <v>0</v>
      </c>
      <c r="G15" s="23" t="n">
        <v>1</v>
      </c>
      <c r="H15" s="13" t="inlineStr">
        <is>
          <t>祥和</t>
        </is>
      </c>
    </row>
    <row r="16">
      <c r="A16" s="12" t="n">
        <v>13</v>
      </c>
      <c r="B16" s="13" t="inlineStr">
        <is>
          <t>随行科技</t>
        </is>
      </c>
      <c r="C16" s="13" t="inlineStr">
        <is>
          <t>随行——数据评价报告服务合同——国家信息中心</t>
        </is>
      </c>
      <c r="D16" s="14" t="n">
        <v>10000</v>
      </c>
      <c r="E16" s="14" t="n">
        <v>0</v>
      </c>
      <c r="F16" s="14" t="n">
        <v>10000</v>
      </c>
      <c r="G16" s="23" t="n">
        <v>0</v>
      </c>
      <c r="H16" s="13" t="inlineStr">
        <is>
          <t>国家信息中心</t>
        </is>
      </c>
    </row>
    <row r="17">
      <c r="A17" s="12" t="n">
        <v>14</v>
      </c>
      <c r="B17" s="13" t="inlineStr">
        <is>
          <t>随行科技</t>
        </is>
      </c>
      <c r="C17" s="13" t="inlineStr">
        <is>
          <t>随行——专项法律服务合同——北京立方</t>
        </is>
      </c>
      <c r="D17" s="14" t="n">
        <v>15900</v>
      </c>
      <c r="E17" s="14" t="n">
        <v>15900</v>
      </c>
      <c r="F17" s="14" t="n">
        <v>0</v>
      </c>
      <c r="G17" s="23" t="n">
        <v>1</v>
      </c>
      <c r="H17" s="13" t="inlineStr">
        <is>
          <t>北京立方</t>
        </is>
      </c>
    </row>
    <row r="18">
      <c r="A18" s="12" t="n">
        <v>15</v>
      </c>
      <c r="B18" s="13" t="inlineStr">
        <is>
          <t>骏铭科技</t>
        </is>
      </c>
      <c r="C18" s="13" t="inlineStr">
        <is>
          <t>骏铭——合规认定专项服务合同——北京中银</t>
        </is>
      </c>
      <c r="D18" s="14" t="n">
        <v>15000</v>
      </c>
      <c r="E18" s="14" t="n">
        <v>0</v>
      </c>
      <c r="F18" s="14" t="n">
        <v>15000</v>
      </c>
      <c r="G18" s="23" t="n">
        <v>0</v>
      </c>
      <c r="H18" s="13" t="inlineStr">
        <is>
          <t>北京中银</t>
        </is>
      </c>
    </row>
    <row r="19">
      <c r="A19" s="12" t="n">
        <v>16</v>
      </c>
      <c r="B19" s="13" t="inlineStr">
        <is>
          <t>骏铭科技</t>
        </is>
      </c>
      <c r="C19" s="13" t="inlineStr">
        <is>
          <t>骏铭——价值评估专项服务合同——中兴财</t>
        </is>
      </c>
      <c r="D19" s="14" t="n">
        <v>10000</v>
      </c>
      <c r="E19" s="14" t="n">
        <v>0</v>
      </c>
      <c r="F19" s="14" t="n">
        <v>10000</v>
      </c>
      <c r="G19" s="23" t="n">
        <v>0</v>
      </c>
      <c r="H19" s="13" t="inlineStr">
        <is>
          <t>中兴财</t>
        </is>
      </c>
    </row>
    <row r="20">
      <c r="A20" s="12" t="n">
        <v>17</v>
      </c>
      <c r="B20" s="13" t="inlineStr">
        <is>
          <t>骏铭科技</t>
        </is>
      </c>
      <c r="C20" s="13" t="inlineStr">
        <is>
          <t>骏铭——审计核验专项服务合同——祥和</t>
        </is>
      </c>
      <c r="D20" s="14" t="n">
        <v>10000</v>
      </c>
      <c r="E20" s="14" t="n">
        <v>0</v>
      </c>
      <c r="F20" s="14" t="n">
        <v>10000</v>
      </c>
      <c r="G20" s="23" t="n">
        <v>0</v>
      </c>
      <c r="H20" s="13" t="inlineStr">
        <is>
          <t>祥和</t>
        </is>
      </c>
    </row>
    <row r="21">
      <c r="A21" s="12" t="n">
        <v>18</v>
      </c>
      <c r="B21" s="13" t="inlineStr">
        <is>
          <t>骏铭科技</t>
        </is>
      </c>
      <c r="C21" s="13" t="inlineStr">
        <is>
          <t>骏铭——数据评价专项合作洗衣——通广云合</t>
        </is>
      </c>
      <c r="D21" s="14" t="n">
        <v>5000</v>
      </c>
      <c r="E21" s="14" t="n">
        <v>0</v>
      </c>
      <c r="F21" s="14" t="n">
        <v>5000</v>
      </c>
      <c r="G21" s="23" t="n">
        <v>0</v>
      </c>
      <c r="H21" s="13" t="inlineStr">
        <is>
          <t>通广云合</t>
        </is>
      </c>
    </row>
    <row r="22">
      <c r="A22" s="12" t="n">
        <v>19</v>
      </c>
      <c r="B22" s="13" t="inlineStr">
        <is>
          <t>光电高斯</t>
        </is>
      </c>
      <c r="C22" s="13" t="inlineStr">
        <is>
          <t>光电高斯——合规认定——北京中银</t>
        </is>
      </c>
      <c r="D22" s="14" t="n">
        <v>30000</v>
      </c>
      <c r="E22" s="14" t="n">
        <v>0</v>
      </c>
      <c r="F22" s="14" t="n">
        <v>30000</v>
      </c>
      <c r="G22" s="23" t="n">
        <v>0</v>
      </c>
      <c r="H22" s="13" t="inlineStr">
        <is>
          <t>北京中银</t>
        </is>
      </c>
    </row>
    <row r="23">
      <c r="A23" s="12" t="n">
        <v>20</v>
      </c>
      <c r="B23" s="13" t="inlineStr">
        <is>
          <t>光电高斯</t>
        </is>
      </c>
      <c r="C23" s="13" t="inlineStr">
        <is>
          <t>光电高斯——数据评价——【朗言安全】【未签合同，暂估】</t>
        </is>
      </c>
      <c r="D23" s="14" t="n">
        <v>8000</v>
      </c>
      <c r="E23" s="14" t="n">
        <v>0</v>
      </c>
      <c r="F23" s="14" t="n">
        <v>8000</v>
      </c>
      <c r="G23" s="23" t="n">
        <v>0</v>
      </c>
      <c r="H23" s="13" t="inlineStr">
        <is>
          <t>【朗言安全】【未签合同，暂估】</t>
        </is>
      </c>
    </row>
    <row r="24">
      <c r="A24" s="12" t="n">
        <v>21</v>
      </c>
      <c r="B24" s="13" t="inlineStr">
        <is>
          <t>光电高斯</t>
        </is>
      </c>
      <c r="C24" s="13" t="inlineStr">
        <is>
          <t>光电高斯——审计核验——【未签合同，暂估】</t>
        </is>
      </c>
      <c r="D24" s="14" t="n">
        <v>10000</v>
      </c>
      <c r="E24" s="14" t="n">
        <v>0</v>
      </c>
      <c r="F24" s="14" t="n">
        <v>10000</v>
      </c>
      <c r="G24" s="23" t="n">
        <v>0</v>
      </c>
      <c r="H24" s="13" t="inlineStr">
        <is>
          <t>【未签合同，暂估】</t>
        </is>
      </c>
    </row>
    <row r="25">
      <c r="A25" s="12" t="n">
        <v>22</v>
      </c>
      <c r="B25" s="13" t="inlineStr">
        <is>
          <t>光电高斯</t>
        </is>
      </c>
      <c r="C25" s="13" t="inlineStr">
        <is>
          <t>光电高斯——价值评估——【未签合同，暂估】</t>
        </is>
      </c>
      <c r="D25" s="14" t="n">
        <v>10000</v>
      </c>
      <c r="E25" s="14" t="n">
        <v>0</v>
      </c>
      <c r="F25" s="14" t="n">
        <v>10000</v>
      </c>
      <c r="G25" s="23" t="n">
        <v>0</v>
      </c>
      <c r="H25" s="13" t="inlineStr">
        <is>
          <t>【未签合同，暂估】</t>
        </is>
      </c>
    </row>
    <row r="26">
      <c r="A26" s="12" t="n">
        <v>23</v>
      </c>
      <c r="B26" s="13" t="inlineStr">
        <is>
          <t>中交疏浚</t>
        </is>
      </c>
      <c r="C26" s="13" t="inlineStr">
        <is>
          <t>中交疏浚——数据资产审计核验服务合同——中审华</t>
        </is>
      </c>
      <c r="D26" s="14" t="n">
        <v>10000</v>
      </c>
      <c r="E26" s="14" t="n">
        <v>0</v>
      </c>
      <c r="F26" s="14" t="n">
        <v>10000</v>
      </c>
      <c r="G26" s="23" t="n">
        <v>0</v>
      </c>
      <c r="H26" s="13" t="inlineStr">
        <is>
          <t>中审华</t>
        </is>
      </c>
    </row>
    <row r="27">
      <c r="A27" s="12" t="n">
        <v>24</v>
      </c>
      <c r="B27" s="13" t="inlineStr">
        <is>
          <t>中交疏浚</t>
        </is>
      </c>
      <c r="C27" s="13" t="inlineStr">
        <is>
          <t>中交疏浚——合规认定——北京中银</t>
        </is>
      </c>
      <c r="D27" s="14" t="n">
        <v>10000</v>
      </c>
      <c r="E27" s="14" t="n">
        <v>0</v>
      </c>
      <c r="F27" s="14" t="n">
        <v>10000</v>
      </c>
      <c r="G27" s="23" t="n">
        <v>0</v>
      </c>
      <c r="H27" s="13" t="inlineStr">
        <is>
          <t>北京中银</t>
        </is>
      </c>
    </row>
    <row r="28">
      <c r="A28" s="12" t="n">
        <v>25</v>
      </c>
      <c r="B28" s="13" t="inlineStr">
        <is>
          <t>中交疏浚</t>
        </is>
      </c>
      <c r="C28" s="13" t="inlineStr">
        <is>
          <t>中交疏浚——数据评价——国家信息中心</t>
        </is>
      </c>
      <c r="D28" s="14" t="n">
        <v>30000</v>
      </c>
      <c r="E28" s="14" t="n">
        <v>0</v>
      </c>
      <c r="F28" s="14" t="n">
        <v>30000</v>
      </c>
      <c r="G28" s="23" t="n">
        <v>0</v>
      </c>
      <c r="H28" s="13" t="inlineStr">
        <is>
          <t>国家信息中心</t>
        </is>
      </c>
    </row>
    <row r="29">
      <c r="A29" s="12" t="n">
        <v>26</v>
      </c>
      <c r="B29" s="13" t="inlineStr">
        <is>
          <t>中交疏浚</t>
        </is>
      </c>
      <c r="C29" s="13" t="inlineStr">
        <is>
          <t>中交疏浚——资产评估专项服务合同——天津博成房地产土地资产评估</t>
        </is>
      </c>
      <c r="D29" s="14" t="n">
        <v>10000</v>
      </c>
      <c r="E29" s="14" t="n">
        <v>0</v>
      </c>
      <c r="F29" s="14" t="n">
        <v>10000</v>
      </c>
      <c r="G29" s="23" t="n">
        <v>0</v>
      </c>
      <c r="H29" s="13" t="inlineStr">
        <is>
          <t>天津博成房地产土地资产评估</t>
        </is>
      </c>
    </row>
    <row r="30">
      <c r="A30" s="12" t="n">
        <v>27</v>
      </c>
      <c r="B30" s="13" t="inlineStr">
        <is>
          <t>天保热电</t>
        </is>
      </c>
      <c r="C30" s="13" t="inlineStr">
        <is>
          <t>天保热电——合规认定——北京中银【未签合同，暂估】</t>
        </is>
      </c>
      <c r="D30" s="14" t="n">
        <v>15000</v>
      </c>
      <c r="E30" s="14" t="n">
        <v>0</v>
      </c>
      <c r="F30" s="14" t="n">
        <v>15000</v>
      </c>
      <c r="G30" s="23" t="n">
        <v>0</v>
      </c>
      <c r="H30" s="13" t="inlineStr">
        <is>
          <t>北京中银【未签合同，暂估】</t>
        </is>
      </c>
    </row>
    <row r="31">
      <c r="A31" s="12" t="n">
        <v>28</v>
      </c>
      <c r="B31" s="13" t="inlineStr">
        <is>
          <t>天保热电</t>
        </is>
      </c>
      <c r="C31" s="13" t="inlineStr">
        <is>
          <t>天保热电——数据评价——【朗言安全】【未签合同，暂估】</t>
        </is>
      </c>
      <c r="D31" s="14" t="n">
        <v>8000</v>
      </c>
      <c r="E31" s="14" t="n">
        <v>0</v>
      </c>
      <c r="F31" s="14" t="n">
        <v>8000</v>
      </c>
      <c r="G31" s="23" t="n">
        <v>0</v>
      </c>
      <c r="H31" s="13" t="inlineStr">
        <is>
          <t>【朗言安全】【未签合同，暂估】</t>
        </is>
      </c>
    </row>
    <row r="32">
      <c r="A32" s="12" t="n">
        <v>29</v>
      </c>
      <c r="B32" s="13" t="inlineStr">
        <is>
          <t>天保热电</t>
        </is>
      </c>
      <c r="C32" s="13" t="inlineStr">
        <is>
          <t>天保热电——资产评估专项服务合同——博成评估【未签合同，暂估】</t>
        </is>
      </c>
      <c r="D32" s="14" t="n">
        <v>15000</v>
      </c>
      <c r="E32" s="14" t="n">
        <v>0</v>
      </c>
      <c r="F32" s="14" t="n">
        <v>15000</v>
      </c>
      <c r="G32" s="23" t="n">
        <v>0</v>
      </c>
      <c r="H32" s="13" t="inlineStr">
        <is>
          <t>博成评估【未签合同，暂估】</t>
        </is>
      </c>
    </row>
    <row r="33">
      <c r="A33" s="12" t="n">
        <v>30</v>
      </c>
      <c r="B33" s="13" t="inlineStr">
        <is>
          <t>天保热电</t>
        </is>
      </c>
      <c r="C33" s="13" t="inlineStr">
        <is>
          <t>天保热电——资产评估专项服务合同——博成评估【未签合同，暂估】</t>
        </is>
      </c>
      <c r="D33" s="14" t="n">
        <v>10000</v>
      </c>
      <c r="E33" s="14" t="n">
        <v>0</v>
      </c>
      <c r="F33" s="14" t="n">
        <v>10000</v>
      </c>
      <c r="G33" s="23" t="n">
        <v>0</v>
      </c>
      <c r="H33" s="13" t="inlineStr">
        <is>
          <t>博成评估【未签合同，暂估】</t>
        </is>
      </c>
    </row>
    <row r="34">
      <c r="A34" s="19" t="n"/>
      <c r="B34" s="20" t="inlineStr">
        <is>
          <t>合计</t>
        </is>
      </c>
      <c r="C34" s="19" t="n"/>
      <c r="D34" s="21">
        <f>SUM(D4:D33)</f>
        <v/>
      </c>
      <c r="E34" s="21">
        <f>SUM(E4:E33)</f>
        <v/>
      </c>
      <c r="F34" s="21">
        <f>SUM(F4:F33)</f>
        <v/>
      </c>
      <c r="G34" s="22">
        <f>E34/D34</f>
        <v/>
      </c>
      <c r="H34" s="19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2026-02-05T10:06:40Z</dcterms:created>
  <dcterms:modified xmlns:dcterms="http://purl.org/dc/terms/" xmlns:xsi="http://www.w3.org/2001/XMLSchema-instance" xsi:type="dcterms:W3CDTF">2026-02-05T10:10:32Z</dcterms:modified>
</cp:coreProperties>
</file>