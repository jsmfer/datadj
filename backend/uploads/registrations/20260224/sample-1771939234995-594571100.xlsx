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00" windowHeight="8655" activeTab="4"/>
  </bookViews>
  <sheets>
    <sheet name="8" sheetId="23" r:id="rId1"/>
    <sheet name="9" sheetId="24" r:id="rId2"/>
    <sheet name="10" sheetId="25" r:id="rId3"/>
    <sheet name="11" sheetId="26" r:id="rId4"/>
    <sheet name="12" sheetId="27" r:id="rId5"/>
    <sheet name="Sheet3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<sst xmlns="http://schemas.openxmlformats.org/spreadsheetml/2006/main" count="112" uniqueCount="31">
  <si>
    <t xml:space="preserve">           津数科技员工工资单      2024年8月                  </t>
  </si>
  <si>
    <t>员工姓名</t>
  </si>
  <si>
    <t>工资总额</t>
  </si>
  <si>
    <t>个人缴纳</t>
  </si>
  <si>
    <t>社保扣除合计</t>
  </si>
  <si>
    <t>公积金</t>
  </si>
  <si>
    <t>个人扣除合计</t>
  </si>
  <si>
    <t>个人所得税</t>
  </si>
  <si>
    <t xml:space="preserve"> 应发工资 </t>
  </si>
  <si>
    <t>养老保险</t>
  </si>
  <si>
    <t>医疗保险</t>
  </si>
  <si>
    <t>失业保险</t>
  </si>
  <si>
    <t>大额医疗</t>
  </si>
  <si>
    <t>任国良</t>
  </si>
  <si>
    <t>张冠群</t>
  </si>
  <si>
    <t>姜宗德（7月）</t>
  </si>
  <si>
    <t>姜宗德（8月）</t>
  </si>
  <si>
    <t>程成</t>
  </si>
  <si>
    <t>王瑶瑶</t>
  </si>
  <si>
    <t>合计</t>
  </si>
  <si>
    <t xml:space="preserve">           津数科技员工工资单      2024年9月                  </t>
  </si>
  <si>
    <t>姜宗德</t>
  </si>
  <si>
    <t>赵宇涵</t>
  </si>
  <si>
    <t>李明阳（实习）</t>
  </si>
  <si>
    <t xml:space="preserve">           津数科技员工工资单      2024年10月                  </t>
  </si>
  <si>
    <t xml:space="preserve">           津数科技员工工资单      2024年11月                  </t>
  </si>
  <si>
    <t xml:space="preserve">           津数科技员工工资单      2024年12月                  </t>
  </si>
  <si>
    <t>2024.8-12月工资汇总</t>
  </si>
  <si>
    <t>人员</t>
  </si>
  <si>
    <t>李明阳</t>
  </si>
  <si>
    <t>其他人员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</si>
</sst>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1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3" fontId="1" fillId="0" borderId="3" xfId="0" applyNumberFormat="1" applyFont="1" applyBorder="1" applyAlignment="1">
      <alignment horizontal="center" vertical="center"/>
    </xf>
    <xf numFmtId="43" fontId="1" fillId="0" borderId="4" xfId="0" applyNumberFormat="1" applyFont="1" applyBorder="1" applyAlignment="1">
      <alignment horizontal="center" vertical="center"/>
    </xf>
    <xf numFmtId="43" fontId="1" fillId="0" borderId="5" xfId="0" applyNumberFormat="1" applyFont="1" applyBorder="1" applyAlignment="1">
      <alignment horizontal="center" vertical="center"/>
    </xf>
    <xf numFmtId="43" fontId="1" fillId="0" borderId="2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3" fontId="1" fillId="0" borderId="7" xfId="0" applyNumberFormat="1" applyFont="1" applyBorder="1" applyAlignment="1">
      <alignment horizontal="center" vertical="center"/>
    </xf>
    <xf numFmtId="43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J4" sqref="J4"/>
    </sheetView>
  </sheetViews>
  <sheetFormatPr defaultColWidth="9" defaultRowHeight="15.75"/>
  <cols>
    <col min="1" max="1" width="15.8761061946903" style="1" customWidth="1"/>
    <col min="2" max="2" width="11.2477876106195" style="1" customWidth="1"/>
    <col min="3" max="3" width="11.5044247787611" style="1" customWidth="1"/>
    <col min="4" max="4" width="11" style="1" customWidth="1"/>
    <col min="5" max="5" width="13.2477876106195" style="1" customWidth="1"/>
    <col min="6" max="6" width="14.5044247787611" style="2" customWidth="1"/>
    <col min="7" max="7" width="13.8761061946903" style="1" customWidth="1"/>
    <col min="8" max="8" width="11" style="1" customWidth="1"/>
    <col min="9" max="9" width="14.2477876106195" style="1" customWidth="1"/>
    <col min="10" max="10" width="15.6283185840708" style="1" customWidth="1"/>
    <col min="11" max="11" width="19.1238938053097" style="1" customWidth="1"/>
    <col min="12" max="16384" width="9" style="1"/>
  </cols>
  <sheetData>
    <row r="1" ht="42" customHeight="1" spans="1:1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7.95" customHeight="1" spans="1:11">
      <c r="A2" s="4" t="s">
        <v>1</v>
      </c>
      <c r="B2" s="4" t="s">
        <v>2</v>
      </c>
      <c r="C2" s="5" t="s">
        <v>3</v>
      </c>
      <c r="D2" s="6"/>
      <c r="E2" s="6"/>
      <c r="F2" s="7"/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</row>
    <row r="3" ht="27.95" customHeight="1" spans="1:11">
      <c r="A3" s="9"/>
      <c r="B3" s="9"/>
      <c r="C3" s="10" t="s">
        <v>9</v>
      </c>
      <c r="D3" s="10" t="s">
        <v>10</v>
      </c>
      <c r="E3" s="10" t="s">
        <v>11</v>
      </c>
      <c r="F3" s="10" t="s">
        <v>12</v>
      </c>
      <c r="G3" s="11"/>
      <c r="H3" s="11"/>
      <c r="I3" s="11"/>
      <c r="J3" s="11"/>
      <c r="K3" s="11"/>
    </row>
    <row r="4" ht="27.95" customHeight="1" spans="1:11">
      <c r="A4" s="12" t="s">
        <v>13</v>
      </c>
      <c r="B4" s="13">
        <f>24000+1000+1454.49</f>
        <v>26454.49</v>
      </c>
      <c r="C4" s="10">
        <v>0</v>
      </c>
      <c r="D4" s="10">
        <v>0</v>
      </c>
      <c r="E4" s="10">
        <v>0</v>
      </c>
      <c r="F4" s="10">
        <v>0</v>
      </c>
      <c r="G4" s="10">
        <f>C4+D4+E4+F4</f>
        <v>0</v>
      </c>
      <c r="H4" s="10">
        <f t="shared" ref="H4:H5" si="0">D4+E4+F4+G4</f>
        <v>0</v>
      </c>
      <c r="I4" s="10">
        <v>0</v>
      </c>
      <c r="J4" s="10">
        <v>643.63</v>
      </c>
      <c r="K4" s="10">
        <f>B4-J4</f>
        <v>25810.86</v>
      </c>
    </row>
    <row r="5" ht="27.95" customHeight="1" spans="1:11">
      <c r="A5" s="12" t="s">
        <v>14</v>
      </c>
      <c r="B5" s="13">
        <f>7000+1000+1454.49</f>
        <v>9454.49</v>
      </c>
      <c r="C5" s="10">
        <v>0</v>
      </c>
      <c r="D5" s="10">
        <v>0</v>
      </c>
      <c r="E5" s="10">
        <v>0</v>
      </c>
      <c r="F5" s="10">
        <v>0</v>
      </c>
      <c r="G5" s="10">
        <f>C5+D5+E5+F5</f>
        <v>0</v>
      </c>
      <c r="H5" s="10">
        <f t="shared" si="0"/>
        <v>0</v>
      </c>
      <c r="I5" s="10">
        <v>0</v>
      </c>
      <c r="J5" s="10">
        <v>133.63</v>
      </c>
      <c r="K5" s="10">
        <f>B5-J5</f>
        <v>9320.86</v>
      </c>
    </row>
    <row r="6" ht="27.95" customHeight="1" spans="1:11">
      <c r="A6" s="12" t="s">
        <v>15</v>
      </c>
      <c r="B6" s="13">
        <v>0</v>
      </c>
      <c r="C6" s="13">
        <v>380.08</v>
      </c>
      <c r="D6" s="13">
        <v>95.02</v>
      </c>
      <c r="E6" s="13">
        <v>23.76</v>
      </c>
      <c r="F6" s="13">
        <v>21</v>
      </c>
      <c r="G6" s="10">
        <f>C6+D6+E6+F6</f>
        <v>519.86</v>
      </c>
      <c r="H6" s="10">
        <v>116</v>
      </c>
      <c r="I6" s="8">
        <f>G6+G7+H6+H7</f>
        <v>1300.23</v>
      </c>
      <c r="J6" s="8">
        <v>70.07</v>
      </c>
      <c r="K6" s="8">
        <f>B7-I6-J6</f>
        <v>6629.7</v>
      </c>
    </row>
    <row r="7" ht="27.95" customHeight="1" spans="1:11">
      <c r="A7" s="12" t="s">
        <v>16</v>
      </c>
      <c r="B7" s="13">
        <f>7000+1000</f>
        <v>8000</v>
      </c>
      <c r="C7" s="13">
        <v>401.04</v>
      </c>
      <c r="D7" s="13">
        <v>100.26</v>
      </c>
      <c r="E7" s="13">
        <v>25.07</v>
      </c>
      <c r="F7" s="13">
        <v>22</v>
      </c>
      <c r="G7" s="10">
        <f>C7+D7+E7+F7</f>
        <v>548.37</v>
      </c>
      <c r="H7" s="10">
        <v>116</v>
      </c>
      <c r="I7" s="11"/>
      <c r="J7" s="11"/>
      <c r="K7" s="11"/>
    </row>
    <row r="8" ht="27.95" customHeight="1" spans="1:11">
      <c r="A8" s="12" t="s">
        <v>17</v>
      </c>
      <c r="B8" s="13">
        <v>2000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1">
        <v>0</v>
      </c>
      <c r="J8" s="10">
        <v>0</v>
      </c>
      <c r="K8" s="10">
        <f>B8-J8</f>
        <v>2000</v>
      </c>
    </row>
    <row r="9" ht="27.95" customHeight="1" spans="1:11">
      <c r="A9" s="12" t="s">
        <v>18</v>
      </c>
      <c r="B9" s="13">
        <v>2000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1">
        <v>0</v>
      </c>
      <c r="J9" s="10">
        <v>0</v>
      </c>
      <c r="K9" s="10">
        <f>B9-J9</f>
        <v>2000</v>
      </c>
    </row>
    <row r="10" ht="24.95" customHeight="1" spans="1:11">
      <c r="A10" s="12" t="s">
        <v>19</v>
      </c>
      <c r="B10" s="13">
        <f>SUM(B4:B9)</f>
        <v>47908.98</v>
      </c>
      <c r="C10" s="13">
        <f>SUM(C4:C5)</f>
        <v>0</v>
      </c>
      <c r="D10" s="13">
        <f>SUM(D4:D5)</f>
        <v>0</v>
      </c>
      <c r="E10" s="13">
        <f>SUM(E4:E5)</f>
        <v>0</v>
      </c>
      <c r="F10" s="10">
        <f>SUM(F4:F5)</f>
        <v>0</v>
      </c>
      <c r="G10" s="13">
        <f>SUM(G4:G5)</f>
        <v>0</v>
      </c>
      <c r="H10" s="13"/>
      <c r="I10" s="13">
        <v>0</v>
      </c>
      <c r="J10" s="13">
        <f>SUM(J4:J9)</f>
        <v>847.33</v>
      </c>
      <c r="K10" s="10">
        <f>SUM(K4:K9)</f>
        <v>45761.42</v>
      </c>
    </row>
    <row r="11" ht="20.25" customHeight="1"/>
  </sheetData>
  <mergeCells count="12">
    <mergeCell ref="A1:K1"/>
    <mergeCell ref="C2:F2"/>
    <mergeCell ref="A2:A3"/>
    <mergeCell ref="B2:B3"/>
    <mergeCell ref="G2:G3"/>
    <mergeCell ref="H2:H3"/>
    <mergeCell ref="I2:I3"/>
    <mergeCell ref="I6:I7"/>
    <mergeCell ref="J2:J3"/>
    <mergeCell ref="J6:J7"/>
    <mergeCell ref="K2:K3"/>
    <mergeCell ref="K6:K7"/>
  </mergeCells>
  <pageMargins left="0.550694444444444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L6" sqref="L6"/>
    </sheetView>
  </sheetViews>
  <sheetFormatPr defaultColWidth="9" defaultRowHeight="15.75"/>
  <cols>
    <col min="1" max="1" width="15.8761061946903" style="1" customWidth="1"/>
    <col min="2" max="2" width="11.2477876106195" style="1" customWidth="1"/>
    <col min="3" max="3" width="11.5044247787611" style="1" customWidth="1"/>
    <col min="4" max="4" width="11" style="1" customWidth="1"/>
    <col min="5" max="5" width="13.2477876106195" style="1" customWidth="1"/>
    <col min="6" max="6" width="14.5044247787611" style="2" customWidth="1"/>
    <col min="7" max="7" width="13.8761061946903" style="1" customWidth="1"/>
    <col min="8" max="8" width="11" style="1" customWidth="1"/>
    <col min="9" max="9" width="14.2477876106195" style="1" customWidth="1"/>
    <col min="10" max="10" width="15.6283185840708" style="1" customWidth="1"/>
    <col min="11" max="11" width="14.7522123893805" style="1" customWidth="1"/>
    <col min="12" max="16384" width="9" style="1"/>
  </cols>
  <sheetData>
    <row r="1" ht="42" customHeight="1" spans="1:11">
      <c r="A1" s="3" t="s">
        <v>20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7.95" customHeight="1" spans="1:11">
      <c r="A2" s="4" t="s">
        <v>1</v>
      </c>
      <c r="B2" s="4" t="s">
        <v>2</v>
      </c>
      <c r="C2" s="5" t="s">
        <v>3</v>
      </c>
      <c r="D2" s="6"/>
      <c r="E2" s="6"/>
      <c r="F2" s="7"/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</row>
    <row r="3" ht="27.95" customHeight="1" spans="1:11">
      <c r="A3" s="9"/>
      <c r="B3" s="9"/>
      <c r="C3" s="10" t="s">
        <v>9</v>
      </c>
      <c r="D3" s="10" t="s">
        <v>10</v>
      </c>
      <c r="E3" s="10" t="s">
        <v>11</v>
      </c>
      <c r="F3" s="10" t="s">
        <v>12</v>
      </c>
      <c r="G3" s="11"/>
      <c r="H3" s="11"/>
      <c r="I3" s="11"/>
      <c r="J3" s="11"/>
      <c r="K3" s="11"/>
    </row>
    <row r="4" ht="27.95" customHeight="1" spans="1:11">
      <c r="A4" s="12" t="s">
        <v>13</v>
      </c>
      <c r="B4" s="13">
        <f>24000+1000+1454.49</f>
        <v>26454.49</v>
      </c>
      <c r="C4" s="10">
        <v>0</v>
      </c>
      <c r="D4" s="10">
        <v>0</v>
      </c>
      <c r="E4" s="10">
        <v>0</v>
      </c>
      <c r="F4" s="10">
        <v>0</v>
      </c>
      <c r="G4" s="10">
        <f>C4+D4+E4+F4</f>
        <v>0</v>
      </c>
      <c r="H4" s="10">
        <f t="shared" ref="H4:H5" si="0">D4+E4+F4+G4</f>
        <v>0</v>
      </c>
      <c r="I4" s="10">
        <v>0</v>
      </c>
      <c r="J4" s="10">
        <v>1127.27</v>
      </c>
      <c r="K4" s="10">
        <f>B4-G4-H4-J4</f>
        <v>25327.22</v>
      </c>
    </row>
    <row r="5" ht="27.95" customHeight="1" spans="1:11">
      <c r="A5" s="12" t="s">
        <v>14</v>
      </c>
      <c r="B5" s="13">
        <f>7000+1000+1454.49</f>
        <v>9454.49</v>
      </c>
      <c r="C5" s="10">
        <v>0</v>
      </c>
      <c r="D5" s="10">
        <v>0</v>
      </c>
      <c r="E5" s="10">
        <v>0</v>
      </c>
      <c r="F5" s="10">
        <v>0</v>
      </c>
      <c r="G5" s="10">
        <f>C5+D5+E5+F5</f>
        <v>0</v>
      </c>
      <c r="H5" s="10">
        <f t="shared" si="0"/>
        <v>0</v>
      </c>
      <c r="I5" s="10">
        <v>0</v>
      </c>
      <c r="J5" s="10">
        <v>133.64</v>
      </c>
      <c r="K5" s="10">
        <f t="shared" ref="K5:K10" si="1">B5-G5-H5-J5</f>
        <v>9320.85</v>
      </c>
    </row>
    <row r="6" ht="27.95" customHeight="1" spans="1:11">
      <c r="A6" s="12" t="s">
        <v>21</v>
      </c>
      <c r="B6" s="13">
        <f>7000+1000</f>
        <v>8000</v>
      </c>
      <c r="C6" s="13">
        <v>401.04</v>
      </c>
      <c r="D6" s="13">
        <v>100.26</v>
      </c>
      <c r="E6" s="13">
        <v>25.07</v>
      </c>
      <c r="F6" s="13">
        <v>22</v>
      </c>
      <c r="G6" s="10">
        <f>C6+D6+E6+F6</f>
        <v>548.37</v>
      </c>
      <c r="H6" s="10">
        <v>116</v>
      </c>
      <c r="I6" s="11"/>
      <c r="J6" s="11">
        <v>70.07</v>
      </c>
      <c r="K6" s="10">
        <f t="shared" si="1"/>
        <v>7265.56</v>
      </c>
    </row>
    <row r="7" ht="27.95" customHeight="1" spans="1:11">
      <c r="A7" s="12" t="s">
        <v>22</v>
      </c>
      <c r="B7" s="13">
        <v>3000</v>
      </c>
      <c r="C7" s="13">
        <v>401.04</v>
      </c>
      <c r="D7" s="13">
        <v>100.26</v>
      </c>
      <c r="E7" s="13">
        <v>25.07</v>
      </c>
      <c r="F7" s="13">
        <v>22</v>
      </c>
      <c r="G7" s="10">
        <f>C7+D7+E7+F7</f>
        <v>548.37</v>
      </c>
      <c r="H7" s="10">
        <v>116</v>
      </c>
      <c r="I7" s="11"/>
      <c r="J7" s="11">
        <v>0</v>
      </c>
      <c r="K7" s="10">
        <f t="shared" si="1"/>
        <v>2335.63</v>
      </c>
    </row>
    <row r="8" ht="27.95" customHeight="1" spans="1:11">
      <c r="A8" s="12" t="s">
        <v>17</v>
      </c>
      <c r="B8" s="13">
        <v>2000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1">
        <v>0</v>
      </c>
      <c r="J8" s="10">
        <v>0</v>
      </c>
      <c r="K8" s="10">
        <f t="shared" si="1"/>
        <v>2000</v>
      </c>
    </row>
    <row r="9" ht="27.95" customHeight="1" spans="1:11">
      <c r="A9" s="12" t="s">
        <v>18</v>
      </c>
      <c r="B9" s="13">
        <v>2000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1">
        <v>0</v>
      </c>
      <c r="J9" s="10">
        <v>0</v>
      </c>
      <c r="K9" s="10">
        <f t="shared" si="1"/>
        <v>2000</v>
      </c>
    </row>
    <row r="10" ht="27.95" customHeight="1" spans="1:11">
      <c r="A10" s="12" t="s">
        <v>23</v>
      </c>
      <c r="B10" s="13">
        <v>2100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f t="shared" si="1"/>
        <v>2100</v>
      </c>
    </row>
    <row r="11" ht="24.95" customHeight="1" spans="1:11">
      <c r="A11" s="12" t="s">
        <v>19</v>
      </c>
      <c r="B11" s="13">
        <f>SUM(B4:B10)</f>
        <v>53008.98</v>
      </c>
      <c r="C11" s="13">
        <f t="shared" ref="C11:K11" si="2">SUM(C4:C10)</f>
        <v>802.08</v>
      </c>
      <c r="D11" s="13">
        <f t="shared" si="2"/>
        <v>200.52</v>
      </c>
      <c r="E11" s="13">
        <f t="shared" si="2"/>
        <v>50.14</v>
      </c>
      <c r="F11" s="13">
        <f t="shared" si="2"/>
        <v>44</v>
      </c>
      <c r="G11" s="13">
        <f t="shared" si="2"/>
        <v>1096.74</v>
      </c>
      <c r="H11" s="13">
        <f t="shared" si="2"/>
        <v>232</v>
      </c>
      <c r="I11" s="13">
        <f t="shared" si="2"/>
        <v>0</v>
      </c>
      <c r="J11" s="13">
        <f t="shared" si="2"/>
        <v>1330.98</v>
      </c>
      <c r="K11" s="13">
        <f t="shared" si="2"/>
        <v>50349.26</v>
      </c>
    </row>
    <row r="12" ht="20.25" customHeight="1"/>
  </sheetData>
  <mergeCells count="9">
    <mergeCell ref="A1:K1"/>
    <mergeCell ref="C2:F2"/>
    <mergeCell ref="A2:A3"/>
    <mergeCell ref="B2:B3"/>
    <mergeCell ref="G2:G3"/>
    <mergeCell ref="H2:H3"/>
    <mergeCell ref="I2:I3"/>
    <mergeCell ref="J2:J3"/>
    <mergeCell ref="K2:K3"/>
  </mergeCells>
  <pageMargins left="0.550694444444444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J4" sqref="J4:J10"/>
    </sheetView>
  </sheetViews>
  <sheetFormatPr defaultColWidth="9" defaultRowHeight="15.75"/>
  <cols>
    <col min="1" max="1" width="15.8761061946903" style="1" customWidth="1"/>
    <col min="2" max="2" width="11.2477876106195" style="1" customWidth="1"/>
    <col min="3" max="3" width="11.5044247787611" style="1" customWidth="1"/>
    <col min="4" max="4" width="11" style="1" customWidth="1"/>
    <col min="5" max="5" width="13.2477876106195" style="1" customWidth="1"/>
    <col min="6" max="6" width="14.5044247787611" style="2" customWidth="1"/>
    <col min="7" max="7" width="13.8761061946903" style="1" customWidth="1"/>
    <col min="8" max="8" width="11" style="1" customWidth="1"/>
    <col min="9" max="9" width="14.2477876106195" style="1" customWidth="1"/>
    <col min="10" max="10" width="15.6283185840708" style="1" customWidth="1"/>
    <col min="11" max="11" width="14.7522123893805" style="1" customWidth="1"/>
    <col min="12" max="16384" width="9" style="1"/>
  </cols>
  <sheetData>
    <row r="1" ht="42" customHeight="1" spans="1:11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7.95" customHeight="1" spans="1:11">
      <c r="A2" s="4" t="s">
        <v>1</v>
      </c>
      <c r="B2" s="4" t="s">
        <v>2</v>
      </c>
      <c r="C2" s="5" t="s">
        <v>3</v>
      </c>
      <c r="D2" s="6"/>
      <c r="E2" s="6"/>
      <c r="F2" s="7"/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</row>
    <row r="3" ht="27.95" customHeight="1" spans="1:11">
      <c r="A3" s="9"/>
      <c r="B3" s="9"/>
      <c r="C3" s="10" t="s">
        <v>9</v>
      </c>
      <c r="D3" s="10" t="s">
        <v>10</v>
      </c>
      <c r="E3" s="10" t="s">
        <v>11</v>
      </c>
      <c r="F3" s="10" t="s">
        <v>12</v>
      </c>
      <c r="G3" s="11"/>
      <c r="H3" s="11"/>
      <c r="I3" s="11"/>
      <c r="J3" s="11"/>
      <c r="K3" s="11"/>
    </row>
    <row r="4" ht="27.95" customHeight="1" spans="1:11">
      <c r="A4" s="12" t="s">
        <v>13</v>
      </c>
      <c r="B4" s="13">
        <f>24000+1000+1454.49</f>
        <v>26454.49</v>
      </c>
      <c r="C4" s="10">
        <v>0</v>
      </c>
      <c r="D4" s="10">
        <v>0</v>
      </c>
      <c r="E4" s="10">
        <v>0</v>
      </c>
      <c r="F4" s="10">
        <v>0</v>
      </c>
      <c r="G4" s="10">
        <f>C4+D4+E4+F4</f>
        <v>0</v>
      </c>
      <c r="H4" s="10">
        <f t="shared" ref="H4:H5" si="0">D4+E4+F4+G4</f>
        <v>0</v>
      </c>
      <c r="I4" s="10">
        <v>0</v>
      </c>
      <c r="J4" s="10">
        <v>2145.45</v>
      </c>
      <c r="K4" s="10">
        <f>B4-G4-H4-J4</f>
        <v>24309.04</v>
      </c>
    </row>
    <row r="5" ht="27.95" customHeight="1" spans="1:11">
      <c r="A5" s="12" t="s">
        <v>14</v>
      </c>
      <c r="B5" s="13">
        <f>7000+1000+1454.49</f>
        <v>9454.49</v>
      </c>
      <c r="C5" s="10">
        <v>0</v>
      </c>
      <c r="D5" s="10">
        <v>0</v>
      </c>
      <c r="E5" s="10">
        <v>0</v>
      </c>
      <c r="F5" s="10">
        <v>0</v>
      </c>
      <c r="G5" s="10">
        <f>C5+D5+E5+F5</f>
        <v>0</v>
      </c>
      <c r="H5" s="10">
        <f t="shared" si="0"/>
        <v>0</v>
      </c>
      <c r="I5" s="10">
        <v>0</v>
      </c>
      <c r="J5" s="10">
        <v>133.63</v>
      </c>
      <c r="K5" s="10">
        <f t="shared" ref="K5:K9" si="1">B5-G5-H5-J5</f>
        <v>9320.86</v>
      </c>
    </row>
    <row r="6" ht="27.95" customHeight="1" spans="1:11">
      <c r="A6" s="12" t="s">
        <v>21</v>
      </c>
      <c r="B6" s="13">
        <f>7000+1000</f>
        <v>8000</v>
      </c>
      <c r="C6" s="13">
        <v>401.04</v>
      </c>
      <c r="D6" s="13">
        <v>100.26</v>
      </c>
      <c r="E6" s="13">
        <v>25.07</v>
      </c>
      <c r="F6" s="13">
        <v>21</v>
      </c>
      <c r="G6" s="10">
        <f>C6+D6+E6+F6</f>
        <v>547.37</v>
      </c>
      <c r="H6" s="10">
        <v>116</v>
      </c>
      <c r="I6" s="11">
        <f>G6+H6</f>
        <v>663.37</v>
      </c>
      <c r="J6" s="11">
        <v>0</v>
      </c>
      <c r="K6" s="10">
        <f t="shared" si="1"/>
        <v>7336.63</v>
      </c>
    </row>
    <row r="7" ht="27.95" customHeight="1" spans="1:11">
      <c r="A7" s="12" t="s">
        <v>22</v>
      </c>
      <c r="B7" s="13">
        <v>3000</v>
      </c>
      <c r="C7" s="13">
        <v>401.04</v>
      </c>
      <c r="D7" s="13">
        <v>100.26</v>
      </c>
      <c r="E7" s="13">
        <v>25.07</v>
      </c>
      <c r="F7" s="13">
        <v>21</v>
      </c>
      <c r="G7" s="10">
        <f>C7+D7+E7+F7</f>
        <v>547.37</v>
      </c>
      <c r="H7" s="10">
        <v>116</v>
      </c>
      <c r="I7" s="11">
        <f>G7+H7</f>
        <v>663.37</v>
      </c>
      <c r="J7" s="11">
        <v>0</v>
      </c>
      <c r="K7" s="10">
        <f t="shared" si="1"/>
        <v>2336.63</v>
      </c>
    </row>
    <row r="8" ht="27.95" customHeight="1" spans="1:11">
      <c r="A8" s="12" t="s">
        <v>17</v>
      </c>
      <c r="B8" s="13">
        <v>2000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1">
        <v>0</v>
      </c>
      <c r="J8" s="10">
        <v>0</v>
      </c>
      <c r="K8" s="10">
        <f t="shared" si="1"/>
        <v>2000</v>
      </c>
    </row>
    <row r="9" ht="27.95" customHeight="1" spans="1:11">
      <c r="A9" s="12" t="s">
        <v>18</v>
      </c>
      <c r="B9" s="13">
        <v>2000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1">
        <v>0</v>
      </c>
      <c r="J9" s="10">
        <v>0</v>
      </c>
      <c r="K9" s="10">
        <f t="shared" si="1"/>
        <v>2000</v>
      </c>
    </row>
    <row r="10" ht="24.95" customHeight="1" spans="1:11">
      <c r="A10" s="12" t="s">
        <v>19</v>
      </c>
      <c r="B10" s="13">
        <f t="shared" ref="B10:K10" si="2">SUM(B4:B9)</f>
        <v>50908.98</v>
      </c>
      <c r="C10" s="13">
        <f t="shared" si="2"/>
        <v>802.08</v>
      </c>
      <c r="D10" s="13">
        <f t="shared" si="2"/>
        <v>200.52</v>
      </c>
      <c r="E10" s="13">
        <f t="shared" si="2"/>
        <v>50.14</v>
      </c>
      <c r="F10" s="13">
        <f t="shared" si="2"/>
        <v>42</v>
      </c>
      <c r="G10" s="13">
        <f t="shared" si="2"/>
        <v>1094.74</v>
      </c>
      <c r="H10" s="13">
        <f t="shared" si="2"/>
        <v>232</v>
      </c>
      <c r="I10" s="13">
        <f t="shared" si="2"/>
        <v>1326.74</v>
      </c>
      <c r="J10" s="13">
        <f t="shared" si="2"/>
        <v>2279.08</v>
      </c>
      <c r="K10" s="13">
        <f t="shared" si="2"/>
        <v>47303.16</v>
      </c>
    </row>
    <row r="11" ht="20.25" customHeight="1"/>
  </sheetData>
  <mergeCells count="9">
    <mergeCell ref="A1:K1"/>
    <mergeCell ref="C2:F2"/>
    <mergeCell ref="A2:A3"/>
    <mergeCell ref="B2:B3"/>
    <mergeCell ref="G2:G3"/>
    <mergeCell ref="H2:H3"/>
    <mergeCell ref="I2:I3"/>
    <mergeCell ref="J2:J3"/>
    <mergeCell ref="K2:K3"/>
  </mergeCells>
  <pageMargins left="0.550694444444444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I24" sqref="I24"/>
    </sheetView>
  </sheetViews>
  <sheetFormatPr defaultColWidth="9" defaultRowHeight="15.75"/>
  <cols>
    <col min="1" max="1" width="15.8761061946903" style="1" customWidth="1"/>
    <col min="2" max="2" width="11.2477876106195" style="1" customWidth="1"/>
    <col min="3" max="3" width="11.5044247787611" style="1" customWidth="1"/>
    <col min="4" max="4" width="11" style="1" customWidth="1"/>
    <col min="5" max="5" width="13.2477876106195" style="1" customWidth="1"/>
    <col min="6" max="6" width="14.5044247787611" style="2" customWidth="1"/>
    <col min="7" max="7" width="13.8761061946903" style="1" customWidth="1"/>
    <col min="8" max="8" width="11" style="1" customWidth="1"/>
    <col min="9" max="9" width="14.2477876106195" style="1" customWidth="1"/>
    <col min="10" max="10" width="15.6283185840708" style="1" customWidth="1"/>
    <col min="11" max="11" width="14.7522123893805" style="1" customWidth="1"/>
    <col min="12" max="16384" width="9" style="1"/>
  </cols>
  <sheetData>
    <row r="1" ht="42" customHeight="1" spans="1:11">
      <c r="A1" s="3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7.95" customHeight="1" spans="1:11">
      <c r="A2" s="4" t="s">
        <v>1</v>
      </c>
      <c r="B2" s="4" t="s">
        <v>2</v>
      </c>
      <c r="C2" s="5" t="s">
        <v>3</v>
      </c>
      <c r="D2" s="6"/>
      <c r="E2" s="6"/>
      <c r="F2" s="7"/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</row>
    <row r="3" ht="27.95" customHeight="1" spans="1:11">
      <c r="A3" s="9"/>
      <c r="B3" s="9"/>
      <c r="C3" s="10" t="s">
        <v>9</v>
      </c>
      <c r="D3" s="10" t="s">
        <v>10</v>
      </c>
      <c r="E3" s="10" t="s">
        <v>11</v>
      </c>
      <c r="F3" s="10" t="s">
        <v>12</v>
      </c>
      <c r="G3" s="11"/>
      <c r="H3" s="11"/>
      <c r="I3" s="11"/>
      <c r="J3" s="11"/>
      <c r="K3" s="11"/>
    </row>
    <row r="4" ht="27.95" customHeight="1" spans="1:11">
      <c r="A4" s="12" t="s">
        <v>13</v>
      </c>
      <c r="B4" s="13">
        <f>24000+1000+1454.49</f>
        <v>26454.49</v>
      </c>
      <c r="C4" s="10">
        <v>0</v>
      </c>
      <c r="D4" s="10">
        <v>0</v>
      </c>
      <c r="E4" s="10">
        <v>0</v>
      </c>
      <c r="F4" s="10">
        <v>0</v>
      </c>
      <c r="G4" s="10">
        <f>C4+D4+E4+F4</f>
        <v>0</v>
      </c>
      <c r="H4" s="10">
        <f t="shared" ref="H4:H5" si="0">D4+E4+F4+G4</f>
        <v>0</v>
      </c>
      <c r="I4" s="10">
        <v>0</v>
      </c>
      <c r="J4" s="10">
        <v>2145.45</v>
      </c>
      <c r="K4" s="10">
        <f>B4-G4-H4-J4</f>
        <v>24309.04</v>
      </c>
    </row>
    <row r="5" ht="27.95" customHeight="1" spans="1:11">
      <c r="A5" s="12" t="s">
        <v>14</v>
      </c>
      <c r="B5" s="13">
        <f>7000+1000+1454.49</f>
        <v>9454.49</v>
      </c>
      <c r="C5" s="10">
        <v>0</v>
      </c>
      <c r="D5" s="10">
        <v>0</v>
      </c>
      <c r="E5" s="10">
        <v>0</v>
      </c>
      <c r="F5" s="10">
        <v>0</v>
      </c>
      <c r="G5" s="10">
        <f>C5+D5+E5+F5</f>
        <v>0</v>
      </c>
      <c r="H5" s="10">
        <f t="shared" si="0"/>
        <v>0</v>
      </c>
      <c r="I5" s="10">
        <v>0</v>
      </c>
      <c r="J5" s="10">
        <v>133.64</v>
      </c>
      <c r="K5" s="10">
        <f t="shared" ref="K5:K9" si="1">B5-G5-H5-J5</f>
        <v>9320.85</v>
      </c>
    </row>
    <row r="6" ht="27.95" customHeight="1" spans="1:11">
      <c r="A6" s="12" t="s">
        <v>21</v>
      </c>
      <c r="B6" s="13">
        <f>7000+1000</f>
        <v>8000</v>
      </c>
      <c r="C6" s="13">
        <v>401.04</v>
      </c>
      <c r="D6" s="13">
        <v>100.26</v>
      </c>
      <c r="E6" s="13">
        <v>25.07</v>
      </c>
      <c r="F6" s="13">
        <v>22</v>
      </c>
      <c r="G6" s="10">
        <f>C6+D6+E6+F6</f>
        <v>548.37</v>
      </c>
      <c r="H6" s="10">
        <v>116</v>
      </c>
      <c r="I6" s="11">
        <f>G6+H6</f>
        <v>664.37</v>
      </c>
      <c r="J6" s="11">
        <v>0</v>
      </c>
      <c r="K6" s="10">
        <f t="shared" si="1"/>
        <v>7335.63</v>
      </c>
    </row>
    <row r="7" ht="27.95" customHeight="1" spans="1:11">
      <c r="A7" s="12" t="s">
        <v>22</v>
      </c>
      <c r="B7" s="13">
        <v>3000</v>
      </c>
      <c r="C7" s="13">
        <v>401.04</v>
      </c>
      <c r="D7" s="13">
        <v>100.26</v>
      </c>
      <c r="E7" s="13">
        <v>25.07</v>
      </c>
      <c r="F7" s="13">
        <v>22</v>
      </c>
      <c r="G7" s="10">
        <f>C7+D7+E7+F7</f>
        <v>548.37</v>
      </c>
      <c r="H7" s="10">
        <v>116</v>
      </c>
      <c r="I7" s="11">
        <f>G7+H7</f>
        <v>664.37</v>
      </c>
      <c r="J7" s="11">
        <v>0</v>
      </c>
      <c r="K7" s="10">
        <f t="shared" si="1"/>
        <v>2335.63</v>
      </c>
    </row>
    <row r="8" ht="27.95" customHeight="1" spans="1:11">
      <c r="A8" s="12" t="s">
        <v>17</v>
      </c>
      <c r="B8" s="13">
        <v>2000</v>
      </c>
      <c r="C8" s="10">
        <v>0</v>
      </c>
      <c r="D8" s="10">
        <v>0</v>
      </c>
      <c r="E8" s="10">
        <v>0</v>
      </c>
      <c r="F8" s="10"/>
      <c r="G8" s="10">
        <v>0</v>
      </c>
      <c r="H8" s="10">
        <v>0</v>
      </c>
      <c r="I8" s="11">
        <v>0</v>
      </c>
      <c r="J8" s="10">
        <v>0</v>
      </c>
      <c r="K8" s="10">
        <f t="shared" si="1"/>
        <v>2000</v>
      </c>
    </row>
    <row r="9" ht="27.95" customHeight="1" spans="1:11">
      <c r="A9" s="12" t="s">
        <v>18</v>
      </c>
      <c r="B9" s="13">
        <v>2000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1">
        <v>0</v>
      </c>
      <c r="J9" s="10">
        <v>0</v>
      </c>
      <c r="K9" s="10">
        <f t="shared" si="1"/>
        <v>2000</v>
      </c>
    </row>
    <row r="10" ht="24.95" customHeight="1" spans="1:11">
      <c r="A10" s="12" t="s">
        <v>19</v>
      </c>
      <c r="B10" s="13">
        <f t="shared" ref="B10:K10" si="2">SUM(B4:B9)</f>
        <v>50908.98</v>
      </c>
      <c r="C10" s="13">
        <f t="shared" si="2"/>
        <v>802.08</v>
      </c>
      <c r="D10" s="13">
        <f t="shared" si="2"/>
        <v>200.52</v>
      </c>
      <c r="E10" s="13">
        <f t="shared" si="2"/>
        <v>50.14</v>
      </c>
      <c r="F10" s="13">
        <f t="shared" si="2"/>
        <v>44</v>
      </c>
      <c r="G10" s="13">
        <f t="shared" si="2"/>
        <v>1096.74</v>
      </c>
      <c r="H10" s="13">
        <f t="shared" si="2"/>
        <v>232</v>
      </c>
      <c r="I10" s="13">
        <f t="shared" si="2"/>
        <v>1328.74</v>
      </c>
      <c r="J10" s="13">
        <f t="shared" si="2"/>
        <v>2279.09</v>
      </c>
      <c r="K10" s="13">
        <f t="shared" si="2"/>
        <v>47301.15</v>
      </c>
    </row>
    <row r="11" ht="20.25" customHeight="1"/>
  </sheetData>
  <mergeCells count="9">
    <mergeCell ref="A1:K1"/>
    <mergeCell ref="C2:F2"/>
    <mergeCell ref="A2:A3"/>
    <mergeCell ref="B2:B3"/>
    <mergeCell ref="G2:G3"/>
    <mergeCell ref="H2:H3"/>
    <mergeCell ref="I2:I3"/>
    <mergeCell ref="J2:J3"/>
    <mergeCell ref="K2:K3"/>
  </mergeCells>
  <pageMargins left="0.550694444444444" right="0.7" top="0.75" bottom="0.75" header="0.3" footer="0.3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topLeftCell="A5" workbookViewId="0">
      <selection activeCell="F17" sqref="F17"/>
    </sheetView>
  </sheetViews>
  <sheetFormatPr defaultColWidth="9" defaultRowHeight="15.75"/>
  <cols>
    <col min="1" max="1" width="15.8761061946903" style="1" customWidth="1"/>
    <col min="2" max="2" width="14.8053097345133" style="1" customWidth="1"/>
    <col min="3" max="3" width="11.5044247787611" style="1" customWidth="1"/>
    <col min="4" max="4" width="11" style="1" customWidth="1"/>
    <col min="5" max="5" width="13.2477876106195" style="1" customWidth="1"/>
    <col min="6" max="6" width="14.5044247787611" style="2" customWidth="1"/>
    <col min="7" max="7" width="13.8761061946903" style="1" customWidth="1"/>
    <col min="8" max="8" width="11" style="1" customWidth="1"/>
    <col min="9" max="9" width="14.2477876106195" style="1" customWidth="1"/>
    <col min="10" max="10" width="15.6283185840708" style="1" customWidth="1"/>
    <col min="11" max="11" width="14.7522123893805" style="1" customWidth="1"/>
    <col min="12" max="16384" width="9" style="1"/>
  </cols>
  <sheetData>
    <row r="1" ht="42" customHeight="1" spans="1:11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7.95" customHeight="1" spans="1:11">
      <c r="A2" s="4" t="s">
        <v>1</v>
      </c>
      <c r="B2" s="4" t="s">
        <v>2</v>
      </c>
      <c r="C2" s="5" t="s">
        <v>3</v>
      </c>
      <c r="D2" s="6"/>
      <c r="E2" s="6"/>
      <c r="F2" s="7"/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</row>
    <row r="3" ht="27.95" customHeight="1" spans="1:11">
      <c r="A3" s="9"/>
      <c r="B3" s="9"/>
      <c r="C3" s="10" t="s">
        <v>9</v>
      </c>
      <c r="D3" s="10" t="s">
        <v>10</v>
      </c>
      <c r="E3" s="10" t="s">
        <v>11</v>
      </c>
      <c r="F3" s="10" t="s">
        <v>12</v>
      </c>
      <c r="G3" s="11"/>
      <c r="H3" s="11"/>
      <c r="I3" s="11"/>
      <c r="J3" s="11"/>
      <c r="K3" s="11"/>
    </row>
    <row r="4" ht="27.95" customHeight="1" spans="1:11">
      <c r="A4" s="12" t="s">
        <v>13</v>
      </c>
      <c r="B4" s="13">
        <f>24000+1000+1454.49</f>
        <v>26454.49</v>
      </c>
      <c r="C4" s="10">
        <v>0</v>
      </c>
      <c r="D4" s="10">
        <v>0</v>
      </c>
      <c r="E4" s="10">
        <v>0</v>
      </c>
      <c r="F4" s="10">
        <v>0</v>
      </c>
      <c r="G4" s="10">
        <f>C4+D4+E4+F4</f>
        <v>0</v>
      </c>
      <c r="H4" s="10">
        <f t="shared" ref="H4:H5" si="0">D4+E4+F4+G4</f>
        <v>0</v>
      </c>
      <c r="I4" s="10">
        <v>0</v>
      </c>
      <c r="J4" s="10">
        <v>2145.45</v>
      </c>
      <c r="K4" s="10">
        <f>B4-G4-H4-J4</f>
        <v>24309.04</v>
      </c>
    </row>
    <row r="5" ht="27.95" customHeight="1" spans="1:11">
      <c r="A5" s="12" t="s">
        <v>14</v>
      </c>
      <c r="B5" s="13">
        <f>7000+1000+1454.49</f>
        <v>9454.49</v>
      </c>
      <c r="C5" s="10">
        <v>0</v>
      </c>
      <c r="D5" s="10">
        <v>0</v>
      </c>
      <c r="E5" s="10">
        <v>0</v>
      </c>
      <c r="F5" s="10">
        <v>0</v>
      </c>
      <c r="G5" s="10">
        <f>C5+D5+E5+F5</f>
        <v>0</v>
      </c>
      <c r="H5" s="10">
        <f t="shared" si="0"/>
        <v>0</v>
      </c>
      <c r="I5" s="10">
        <v>0</v>
      </c>
      <c r="J5" s="10">
        <v>133.63</v>
      </c>
      <c r="K5" s="10">
        <f t="shared" ref="K5:K9" si="1">B5-G5-H5-J5</f>
        <v>9320.86</v>
      </c>
    </row>
    <row r="6" ht="27.95" customHeight="1" spans="1:11">
      <c r="A6" s="12" t="s">
        <v>21</v>
      </c>
      <c r="B6" s="13">
        <f>7000+1000</f>
        <v>8000</v>
      </c>
      <c r="C6" s="13">
        <v>401.04</v>
      </c>
      <c r="D6" s="13">
        <v>100.26</v>
      </c>
      <c r="E6" s="13">
        <v>25.07</v>
      </c>
      <c r="F6" s="13">
        <v>22</v>
      </c>
      <c r="G6" s="10">
        <f>C6+D6+E6+F6</f>
        <v>548.37</v>
      </c>
      <c r="H6" s="10">
        <v>116</v>
      </c>
      <c r="I6" s="11">
        <f>G6+H6</f>
        <v>664.37</v>
      </c>
      <c r="J6" s="11">
        <v>0</v>
      </c>
      <c r="K6" s="10">
        <f t="shared" si="1"/>
        <v>7335.63</v>
      </c>
    </row>
    <row r="7" ht="27.95" customHeight="1" spans="1:11">
      <c r="A7" s="12" t="s">
        <v>22</v>
      </c>
      <c r="B7" s="13">
        <v>3000</v>
      </c>
      <c r="C7" s="13">
        <v>401.04</v>
      </c>
      <c r="D7" s="13">
        <v>100.26</v>
      </c>
      <c r="E7" s="13">
        <v>25.07</v>
      </c>
      <c r="F7" s="13">
        <v>22</v>
      </c>
      <c r="G7" s="10">
        <f>C7+D7+E7+F7</f>
        <v>548.37</v>
      </c>
      <c r="H7" s="10">
        <v>116</v>
      </c>
      <c r="I7" s="11">
        <f>G7+H7</f>
        <v>664.37</v>
      </c>
      <c r="J7" s="11">
        <v>0</v>
      </c>
      <c r="K7" s="10">
        <f t="shared" si="1"/>
        <v>2335.63</v>
      </c>
    </row>
    <row r="8" ht="27.95" customHeight="1" spans="1:11">
      <c r="A8" s="12" t="s">
        <v>17</v>
      </c>
      <c r="B8" s="13">
        <v>2000</v>
      </c>
      <c r="C8" s="10">
        <v>0</v>
      </c>
      <c r="D8" s="10">
        <v>0</v>
      </c>
      <c r="E8" s="10">
        <v>0</v>
      </c>
      <c r="F8" s="10"/>
      <c r="G8" s="10">
        <v>0</v>
      </c>
      <c r="H8" s="10">
        <v>0</v>
      </c>
      <c r="I8" s="11">
        <v>0</v>
      </c>
      <c r="J8" s="10">
        <v>0</v>
      </c>
      <c r="K8" s="10">
        <f t="shared" si="1"/>
        <v>2000</v>
      </c>
    </row>
    <row r="9" ht="27.95" customHeight="1" spans="1:11">
      <c r="A9" s="12" t="s">
        <v>18</v>
      </c>
      <c r="B9" s="13">
        <v>2000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1">
        <v>0</v>
      </c>
      <c r="J9" s="10">
        <v>0</v>
      </c>
      <c r="K9" s="10">
        <f t="shared" si="1"/>
        <v>2000</v>
      </c>
    </row>
    <row r="10" ht="24.95" customHeight="1" spans="1:11">
      <c r="A10" s="12" t="s">
        <v>19</v>
      </c>
      <c r="B10" s="13">
        <f t="shared" ref="B10:K10" si="2">SUM(B4:B9)</f>
        <v>50908.98</v>
      </c>
      <c r="C10" s="13">
        <f t="shared" si="2"/>
        <v>802.08</v>
      </c>
      <c r="D10" s="13">
        <f t="shared" si="2"/>
        <v>200.52</v>
      </c>
      <c r="E10" s="13">
        <f t="shared" si="2"/>
        <v>50.14</v>
      </c>
      <c r="F10" s="13">
        <f t="shared" si="2"/>
        <v>44</v>
      </c>
      <c r="G10" s="13">
        <f t="shared" si="2"/>
        <v>1096.74</v>
      </c>
      <c r="H10" s="13">
        <f t="shared" si="2"/>
        <v>232</v>
      </c>
      <c r="I10" s="13">
        <f t="shared" si="2"/>
        <v>1328.74</v>
      </c>
      <c r="J10" s="13">
        <f t="shared" si="2"/>
        <v>2279.08</v>
      </c>
      <c r="K10" s="13">
        <f t="shared" si="2"/>
        <v>47301.16</v>
      </c>
    </row>
    <row r="11" ht="20.25" customHeight="1"/>
    <row r="12" ht="20.25" customHeight="1" spans="1:1">
      <c r="A12" s="1" t="s">
        <v>27</v>
      </c>
    </row>
    <row r="13" spans="1:2">
      <c r="A13" s="14" t="s">
        <v>28</v>
      </c>
      <c r="B13" s="14" t="s">
        <v>2</v>
      </c>
    </row>
    <row r="14" spans="1:2">
      <c r="A14" s="12" t="s">
        <v>13</v>
      </c>
      <c r="B14" s="14">
        <f>'8'!B4+'9'!B4+'10'!B4+'11'!B4+B4</f>
        <v>132272.45</v>
      </c>
    </row>
    <row r="15" spans="1:2">
      <c r="A15" s="12" t="s">
        <v>14</v>
      </c>
      <c r="B15" s="14">
        <f>'8'!B5+'9'!B5+'10'!B5+'11'!B5+B5</f>
        <v>47272.45</v>
      </c>
    </row>
    <row r="16" spans="1:2">
      <c r="A16" s="12" t="s">
        <v>21</v>
      </c>
      <c r="B16" s="14">
        <f>'8'!B7+'9'!B6+'10'!B6+'11'!B6+B6</f>
        <v>40000</v>
      </c>
    </row>
    <row r="17" spans="1:2">
      <c r="A17" s="12" t="s">
        <v>22</v>
      </c>
      <c r="B17" s="14">
        <f>'9'!B7+'10'!B7+'11'!B7+B7+6300</f>
        <v>18300</v>
      </c>
    </row>
    <row r="18" spans="1:2">
      <c r="A18" s="12" t="s">
        <v>17</v>
      </c>
      <c r="B18" s="14">
        <f>'8'!B9+'9'!B9+'10'!B9++'11'!B9+B9</f>
        <v>10000</v>
      </c>
    </row>
    <row r="19" spans="1:2">
      <c r="A19" s="12" t="s">
        <v>18</v>
      </c>
      <c r="B19" s="14">
        <v>10000</v>
      </c>
    </row>
    <row r="20" spans="1:2">
      <c r="A20" s="14" t="s">
        <v>29</v>
      </c>
      <c r="B20" s="14">
        <v>6300</v>
      </c>
    </row>
    <row r="21" spans="1:2">
      <c r="A21" s="14" t="s">
        <v>30</v>
      </c>
      <c r="B21" s="14">
        <v>108000</v>
      </c>
    </row>
  </sheetData>
  <mergeCells count="10">
    <mergeCell ref="A1:K1"/>
    <mergeCell ref="C2:F2"/>
    <mergeCell ref="A12:B12"/>
    <mergeCell ref="A2:A3"/>
    <mergeCell ref="B2:B3"/>
    <mergeCell ref="G2:G3"/>
    <mergeCell ref="H2:H3"/>
    <mergeCell ref="I2:I3"/>
    <mergeCell ref="J2:J3"/>
    <mergeCell ref="K2:K3"/>
  </mergeCells>
  <pageMargins left="0.156944444444444" right="0.156944444444444" top="0.75" bottom="0.75" header="0.3" footer="0.3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8</vt:lpstr>
      <vt:lpstr>9</vt:lpstr>
      <vt:lpstr>10</vt:lpstr>
      <vt:lpstr>11</vt:lpstr>
      <vt:lpstr>12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WPS_1659930699</cp:lastModifiedBy>
  <dcterms:created xsi:type="dcterms:W3CDTF">2022-01-21T07:55:00Z</dcterms:created>
  <dcterms:modified xsi:type="dcterms:W3CDTF">2025-02-06T02:04:51Z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634B22B7B5274EBC81EFED5818E38206_13</vt:lpwstr>
  </property>
  <property fmtid="{D5CDD505-2E9C-101B-9397-08002B2CF9AE}" pid="3" name="KSOProductBuildVer">
    <vt:lpwstr>2052-12.1.0.19770</vt:lpwstr>
  </property>
</Properties>
</file>